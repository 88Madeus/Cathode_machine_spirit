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UG\Downloads\"/>
    </mc:Choice>
  </mc:AlternateContent>
  <xr:revisionPtr revIDLastSave="0" documentId="13_ncr:1_{C68D5480-8E07-43F7-BFC4-11D9A63999FD}" xr6:coauthVersionLast="47" xr6:coauthVersionMax="47" xr10:uidLastSave="{00000000-0000-0000-0000-000000000000}"/>
  <bookViews>
    <workbookView xWindow="38280" yWindow="5160" windowWidth="29040" windowHeight="15840" tabRatio="500" activeTab="3" xr2:uid="{00000000-000D-0000-FFFF-FFFF00000000}"/>
  </bookViews>
  <sheets>
    <sheet name="30.09" sheetId="1" r:id="rId1"/>
    <sheet name="01.10" sheetId="2" r:id="rId2"/>
    <sheet name="05.10" sheetId="3" r:id="rId3"/>
    <sheet name="06.10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2" i="4" l="1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0" authorId="0" shapeId="0" xr:uid="{00000000-0006-0000-0000-000001000000}">
      <text>
        <r>
          <rPr>
            <sz val="10"/>
            <rFont val="Arial"/>
            <family val="2"/>
          </rPr>
          <t>В оригинале столбцы P₁ и P₂. Отнесены к Pкам и Pкат по аналогии с 01.10 (Pкат &gt; Pкам) — проверить.</t>
        </r>
      </text>
    </comment>
    <comment ref="F10" authorId="0" shapeId="0" xr:uid="{00000000-0006-0000-0000-000004000000}">
      <text>
        <r>
          <rPr>
            <sz val="10"/>
            <rFont val="Arial"/>
            <family val="2"/>
          </rPr>
          <t>В оригинале столбцы P₁ и P₂. Отнесены к Pкам и Pкат по аналогии с 01.10 (Pкат &gt; Pкам) — проверить.</t>
        </r>
      </text>
    </comment>
    <comment ref="E15" authorId="0" shapeId="0" xr:uid="{00000000-0006-0000-0000-000002000000}">
      <text>
        <r>
          <rPr>
            <sz val="10"/>
            <rFont val="Arial"/>
            <family val="2"/>
          </rPr>
          <t>Записано: 9,8·10⁻⁶ → 1·10⁻⁵</t>
        </r>
      </text>
    </comment>
    <comment ref="F15" authorId="0" shapeId="0" xr:uid="{00000000-0006-0000-0000-000005000000}">
      <text>
        <r>
          <rPr>
            <sz val="10"/>
            <rFont val="Arial"/>
            <family val="2"/>
          </rPr>
          <t>Строки на листе записаны с наклоном — привязка давления к строке неуверенная</t>
        </r>
      </text>
    </comment>
    <comment ref="E16" authorId="0" shapeId="0" xr:uid="{00000000-0006-0000-0000-000003000000}">
      <text>
        <r>
          <rPr>
            <sz val="10"/>
            <rFont val="Arial"/>
            <family val="2"/>
          </rPr>
          <t>Рядом зачёркнутая запись со стрелкой</t>
        </r>
      </text>
    </comment>
    <comment ref="F18" authorId="0" shapeId="0" xr:uid="{00000000-0006-0000-0000-000006000000}">
      <text>
        <r>
          <rPr>
            <sz val="10"/>
            <rFont val="Arial"/>
            <family val="2"/>
          </rPr>
          <t>Строки на листе записаны с наклоном — привязка давления к строке неуверенная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5" authorId="0" shapeId="0" xr:uid="{00000000-0006-0000-0100-000002000000}">
      <text>
        <r>
          <rPr>
            <sz val="10"/>
            <rFont val="Arial"/>
            <family val="2"/>
          </rPr>
          <t>Цифра исправлена</t>
        </r>
      </text>
    </comment>
    <comment ref="E24" authorId="0" shapeId="0" xr:uid="{00000000-0006-0000-0100-000001000000}">
      <text>
        <r>
          <rPr>
            <sz val="10"/>
            <rFont val="Arial"/>
            <family val="2"/>
          </rPr>
          <t>Читается как 6,0·10⁻⁶ — выбивается из ряда (~7·10⁻⁶), проверить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4" authorId="0" shapeId="0" xr:uid="{00000000-0006-0000-0200-000005000000}">
      <text>
        <r>
          <rPr>
            <sz val="10"/>
            <rFont val="Arial"/>
            <family val="2"/>
          </rPr>
          <t>Цифра исправлена</t>
        </r>
      </text>
    </comment>
    <comment ref="B15" authorId="0" shapeId="0" xr:uid="{00000000-0006-0000-0200-000001000000}">
      <text>
        <r>
          <rPr>
            <sz val="10"/>
            <rFont val="Arial"/>
            <family val="2"/>
          </rPr>
          <t>Зачёркнуто 0,99, записано 1,16</t>
        </r>
      </text>
    </comment>
    <comment ref="F15" authorId="0" shapeId="0" xr:uid="{00000000-0006-0000-0200-000006000000}">
      <text>
        <r>
          <rPr>
            <sz val="10"/>
            <rFont val="Arial"/>
            <family val="2"/>
          </rPr>
          <t>Цифра исправлена (9,8 / 9,9?)</t>
        </r>
      </text>
    </comment>
    <comment ref="F19" authorId="0" shapeId="0" xr:uid="{00000000-0006-0000-0200-000007000000}">
      <text>
        <r>
          <rPr>
            <sz val="10"/>
            <rFont val="Arial"/>
            <family val="2"/>
          </rPr>
          <t>Зачёркнуто 9,9·10⁻⁶, записано 1·10⁻⁵</t>
        </r>
      </text>
    </comment>
    <comment ref="B26" authorId="0" shapeId="0" xr:uid="{00000000-0006-0000-0200-000002000000}">
      <text>
        <r>
          <rPr>
            <sz val="10"/>
            <rFont val="Arial"/>
            <family val="2"/>
          </rPr>
          <t>Цифры исправлены</t>
        </r>
      </text>
    </comment>
    <comment ref="C36" authorId="0" shapeId="0" xr:uid="{00000000-0006-0000-0200-000003000000}">
      <text>
        <r>
          <rPr>
            <sz val="10"/>
            <rFont val="Arial"/>
            <family val="2"/>
          </rPr>
          <t>Читается неуверенно</t>
        </r>
      </text>
    </comment>
    <comment ref="C44" authorId="0" shapeId="0" xr:uid="{00000000-0006-0000-0200-000004000000}">
      <text>
        <r>
          <rPr>
            <sz val="10"/>
            <rFont val="Arial"/>
            <family val="2"/>
          </rPr>
          <t>Исправлено, читается как 100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6" authorId="0" shapeId="0" xr:uid="{00000000-0006-0000-0300-000005000000}">
      <text>
        <r>
          <rPr>
            <sz val="10"/>
            <rFont val="Arial"/>
            <family val="2"/>
          </rPr>
          <t>Цифра исправлена</t>
        </r>
      </text>
    </comment>
    <comment ref="B26" authorId="0" shapeId="0" xr:uid="{00000000-0006-0000-0300-000006000000}">
      <text>
        <r>
          <rPr>
            <sz val="10"/>
            <rFont val="Arial"/>
            <family val="2"/>
          </rPr>
          <t>Цифры исправлены (4,05 / 4,15?)</t>
        </r>
      </text>
    </comment>
    <comment ref="F30" authorId="0" shapeId="0" xr:uid="{00000000-0006-0000-0300-00000C000000}">
      <text>
        <r>
          <rPr>
            <sz val="10"/>
            <rFont val="Arial"/>
            <family val="2"/>
          </rPr>
          <t>7,7 / 7,8 — читается неуверенно</t>
        </r>
      </text>
    </comment>
    <comment ref="F31" authorId="0" shapeId="0" xr:uid="{00000000-0006-0000-0300-00000D000000}">
      <text>
        <r>
          <rPr>
            <sz val="10"/>
            <rFont val="Arial"/>
            <family val="2"/>
          </rPr>
          <t>В записи указано просто «P» — отнесено к Pкат, проверить.</t>
        </r>
      </text>
    </comment>
    <comment ref="F32" authorId="0" shapeId="0" xr:uid="{00000000-0006-0000-0300-00000E000000}">
      <text>
        <r>
          <rPr>
            <sz val="10"/>
            <rFont val="Arial"/>
            <family val="2"/>
          </rPr>
          <t>В записи указано просто «P» — отнесено к Pкат, проверить.</t>
        </r>
      </text>
    </comment>
    <comment ref="A47" authorId="0" shapeId="0" xr:uid="{00000000-0006-0000-0300-000001000000}">
      <text>
        <r>
          <rPr>
            <sz val="10"/>
            <rFont val="Arial"/>
            <family val="2"/>
          </rPr>
          <t>Время не записано (блокнот); по смыслу — до начала записи в бланк в 13:57</t>
        </r>
      </text>
    </comment>
    <comment ref="A48" authorId="0" shapeId="0" xr:uid="{00000000-0006-0000-0300-000002000000}">
      <text>
        <r>
          <rPr>
            <sz val="10"/>
            <rFont val="Arial"/>
            <family val="2"/>
          </rPr>
          <t>Время не записано (блокнот); по смыслу — до начала записи в бланк в 13:57</t>
        </r>
      </text>
    </comment>
    <comment ref="A49" authorId="0" shapeId="0" xr:uid="{00000000-0006-0000-0300-000003000000}">
      <text>
        <r>
          <rPr>
            <sz val="10"/>
            <rFont val="Arial"/>
            <family val="2"/>
          </rPr>
          <t>Время не записано (блокнот); по смыслу — до начала записи в бланк в 13:57. Возможно, дублирует предыдущие записи</t>
        </r>
      </text>
    </comment>
    <comment ref="D50" authorId="0" shapeId="0" xr:uid="{00000000-0006-0000-0300-00000B000000}">
      <text>
        <r>
          <rPr>
            <sz val="10"/>
            <rFont val="Arial"/>
            <family val="2"/>
          </rPr>
          <t>Исправлено</t>
        </r>
      </text>
    </comment>
    <comment ref="B52" authorId="0" shapeId="0" xr:uid="{00000000-0006-0000-0300-000007000000}">
      <text>
        <r>
          <rPr>
            <sz val="10"/>
            <rFont val="Arial"/>
            <family val="2"/>
          </rPr>
          <t>Исправлено; рядом пометка «~4,5»</t>
        </r>
      </text>
    </comment>
    <comment ref="H60" authorId="0" shapeId="0" xr:uid="{00000000-0006-0000-0300-00000F000000}">
      <text>
        <r>
          <rPr>
            <sz val="10"/>
            <rFont val="Arial"/>
            <family val="2"/>
          </rPr>
          <t>В вашей правке 16_53, как и в строке выше; на полях бланка было «16_56» — проверить</t>
        </r>
      </text>
    </comment>
    <comment ref="B62" authorId="0" shapeId="0" xr:uid="{00000000-0006-0000-0300-000008000000}">
      <text>
        <r>
          <rPr>
            <sz val="10"/>
            <rFont val="Arial"/>
            <family val="2"/>
          </rPr>
          <t>Цифра исправлена</t>
        </r>
      </text>
    </comment>
    <comment ref="A63" authorId="0" shapeId="0" xr:uid="{00000000-0006-0000-0300-000004000000}">
      <text>
        <r>
          <rPr>
            <sz val="10"/>
            <rFont val="Arial"/>
            <family val="2"/>
          </rPr>
          <t>Минуты не видны (край листа)</t>
        </r>
      </text>
    </comment>
    <comment ref="B63" authorId="0" shapeId="0" xr:uid="{00000000-0006-0000-0300-000009000000}">
      <text>
        <r>
          <rPr>
            <sz val="10"/>
            <rFont val="Arial"/>
            <family val="2"/>
          </rPr>
          <t>Записано «83·10⁻³», вероятно 8,3·10⁻³</t>
        </r>
      </text>
    </comment>
    <comment ref="C63" authorId="0" shapeId="0" xr:uid="{00000000-0006-0000-0300-00000A000000}">
      <text>
        <r>
          <rPr>
            <sz val="10"/>
            <rFont val="Arial"/>
            <family val="2"/>
          </rPr>
          <t>Uр дрейфовало 100 → 97 → 95; первое значение исправлено</t>
        </r>
      </text>
    </comment>
  </commentList>
</comments>
</file>

<file path=xl/sharedStrings.xml><?xml version="1.0" encoding="utf-8"?>
<sst xmlns="http://schemas.openxmlformats.org/spreadsheetml/2006/main" count="192" uniqueCount="95">
  <si>
    <t>ПР-8 · 30.09.2026</t>
  </si>
  <si>
    <t>Условия</t>
  </si>
  <si>
    <t>Начало работы</t>
  </si>
  <si>
    <t>11:30</t>
  </si>
  <si>
    <t>Остаточное давление в камере, мбар</t>
  </si>
  <si>
    <t>Давление на 13:30 (P₁ / P₂), мбар</t>
  </si>
  <si>
    <t>8,8·10⁻⁶ / 9,7·10⁻⁶</t>
  </si>
  <si>
    <t>Начало прогрева катода</t>
  </si>
  <si>
    <t>13:30</t>
  </si>
  <si>
    <t>1. Нагрев катода</t>
  </si>
  <si>
    <t>Время</t>
  </si>
  <si>
    <t>Uнак, В</t>
  </si>
  <si>
    <t>Iнак, А</t>
  </si>
  <si>
    <t>Pнак, Вт
(= U·I)</t>
  </si>
  <si>
    <t>Pкам, мбар</t>
  </si>
  <si>
    <t>Pкат, мбар</t>
  </si>
  <si>
    <t>Примечание</t>
  </si>
  <si>
    <t>2. Разряд</t>
  </si>
  <si>
    <t>Режим: Г — горит устойчиво, Н — неустойчиво, П — погас, «—» — разряда нет</t>
  </si>
  <si>
    <t>P, мбар</t>
  </si>
  <si>
    <t>Uр, В</t>
  </si>
  <si>
    <t>Iр, А</t>
  </si>
  <si>
    <t>Режим</t>
  </si>
  <si>
    <t>Спектр (файл)</t>
  </si>
  <si>
    <t>Зонд (файл)</t>
  </si>
  <si>
    <t>Плато, с</t>
  </si>
  <si>
    <t>—</t>
  </si>
  <si>
    <t>Напуск He; разряда нет</t>
  </si>
  <si>
    <t>3. Наблюдения и выводы</t>
  </si>
  <si>
    <t>Проверить наличие и направление тока в катушках.</t>
  </si>
  <si>
    <t>ПР-8 · 01.10.2026</t>
  </si>
  <si>
    <t>Начало откачки</t>
  </si>
  <si>
    <t>9:45</t>
  </si>
  <si>
    <t>Остаточное давление, мбар</t>
  </si>
  <si>
    <t>Начало нагрева</t>
  </si>
  <si>
    <t>11:50</t>
  </si>
  <si>
    <t>Давление в начале нагрева (Pкам / Pкат), мбар</t>
  </si>
  <si>
    <t>7,1·10⁻⁶ / 7,6·10⁻⁶</t>
  </si>
  <si>
    <t>Остаточное давление в конце, мбар</t>
  </si>
  <si>
    <t>Разряда нет</t>
  </si>
  <si>
    <t>Разряда нет.</t>
  </si>
  <si>
    <t>Нужно переключить касповые катушки.</t>
  </si>
  <si>
    <t>— Отвязать анод от экрана катодного узла.</t>
  </si>
  <si>
    <t>— Измерить температуру эмиттера пирометром.</t>
  </si>
  <si>
    <t>ПР-8 · 05.10.2026</t>
  </si>
  <si>
    <t>15:00</t>
  </si>
  <si>
    <t>8,5·10⁻⁶ / 9,8·10⁻⁶</t>
  </si>
  <si>
    <t>Uнак не записано</t>
  </si>
  <si>
    <t>в записи: 450 Вт</t>
  </si>
  <si>
    <t>Анод замкнут на камеру — разряд есть</t>
  </si>
  <si>
    <t>pr8_018</t>
  </si>
  <si>
    <t>ВАХ с 3-х зондов во время разряда</t>
  </si>
  <si>
    <t>pr8_019</t>
  </si>
  <si>
    <t>При механическом воздействии на трубки охлаждения катода меняется напряжение накала → плавающий контакт с корпусом.</t>
  </si>
  <si>
    <t>При замыкании анода на камеру есть разряд, Iр = 13 А.</t>
  </si>
  <si>
    <t>ПР-8 · 06.10.2026</t>
  </si>
  <si>
    <t>Рабочий газ</t>
  </si>
  <si>
    <t>гелий (He)</t>
  </si>
  <si>
    <t>Ток в катушках соленоида</t>
  </si>
  <si>
    <t>≈ 570 А (торцевая + 2 катушки)</t>
  </si>
  <si>
    <t>Ограничение тока источника разряда</t>
  </si>
  <si>
    <t>14 (13,9) А</t>
  </si>
  <si>
    <t>Накал на начало измерений (Iн / Uн)</t>
  </si>
  <si>
    <t>88 А / 5,13 В</t>
  </si>
  <si>
    <t>Давление до напуска He, мбар</t>
  </si>
  <si>
    <t>Направление изменения P</t>
  </si>
  <si>
    <t>Источники</t>
  </si>
  <si>
    <t>блокнот (2 стр.) + бланк ПР-8, этап 03, лист 2/3</t>
  </si>
  <si>
    <t>Г</t>
  </si>
  <si>
    <t>Pкат; блокнот</t>
  </si>
  <si>
    <t>Pкат; блокнот, стр. 06.10</t>
  </si>
  <si>
    <t>П</t>
  </si>
  <si>
    <t>Погас (срыв)</t>
  </si>
  <si>
    <t>Г/Н?</t>
  </si>
  <si>
    <t>Повторное зажигание; вяло растёт</t>
  </si>
  <si>
    <t>Вяло растёт</t>
  </si>
  <si>
    <t>Рост лучше</t>
  </si>
  <si>
    <t>Далее снимали на убывание давления</t>
  </si>
  <si>
    <t>10_16_34</t>
  </si>
  <si>
    <t>16_53</t>
  </si>
  <si>
    <t>pr8_024</t>
  </si>
  <si>
    <t>17_01</t>
  </si>
  <si>
    <t>pr8_025</t>
  </si>
  <si>
    <t>Uр дрейфовало 112 → 108</t>
  </si>
  <si>
    <t>17_09</t>
  </si>
  <si>
    <t>pr8_026</t>
  </si>
  <si>
    <t>17:xx</t>
  </si>
  <si>
    <t>Блокнот; Uр 100 → 97 → 95</t>
  </si>
  <si>
    <t>3. Итоги</t>
  </si>
  <si>
    <t>Давление зажигания: 6,2·10⁻³ мбар.</t>
  </si>
  <si>
    <t>Напряжение зажигания Uз: не измерялось; всегда принимали ~100÷110 В.</t>
  </si>
  <si>
    <t>Pmin (срыв): ≈ 3÷4·10⁻³ мбар.</t>
  </si>
  <si>
    <t>Pmax (срыв): не измерялось.</t>
  </si>
  <si>
    <t>Повторный нагрев</t>
  </si>
  <si>
    <t>по всякому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</si>
</sst>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hh:mm"/>
    <numFmt numFmtId="166" formatCode="0.#"/>
    <numFmt numFmtId="167" formatCode="0.0"/>
  </numFmts>
  <fonts count="7" x14ac:knownFonts="1">
    <font>
      <sz val="11"/>
      <color theme="1"/>
      <name val="Calibri"/>
      <family val="2"/>
      <charset val="1"/>
    </font>
    <font>
      <b/>
      <sz val="14"/>
      <color rgb="FF1D2A6E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rgb="FF595959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2A6E"/>
        <bgColor rgb="FF333399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166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2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D2A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showGridLines="0" topLeftCell="A16" zoomScaleNormal="100" workbookViewId="0">
      <selection activeCell="J14" sqref="J14"/>
    </sheetView>
  </sheetViews>
  <sheetFormatPr defaultColWidth="8.6640625" defaultRowHeight="14.4" x14ac:dyDescent="0.3"/>
  <cols>
    <col min="1" max="1" width="9" customWidth="1"/>
    <col min="2" max="2" width="11" customWidth="1"/>
    <col min="3" max="3" width="10" customWidth="1"/>
    <col min="4" max="7" width="11" customWidth="1"/>
    <col min="8" max="8" width="15" customWidth="1"/>
    <col min="9" max="9" width="13" customWidth="1"/>
    <col min="10" max="10" width="10" customWidth="1"/>
    <col min="11" max="11" width="44" customWidth="1"/>
  </cols>
  <sheetData>
    <row r="1" spans="1:11" ht="17.399999999999999" x14ac:dyDescent="0.3">
      <c r="A1" s="4" t="s">
        <v>0</v>
      </c>
    </row>
    <row r="3" spans="1:11" ht="19.5" customHeight="1" x14ac:dyDescent="0.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3" t="s">
        <v>2</v>
      </c>
      <c r="B4" s="3"/>
      <c r="C4" s="3"/>
      <c r="D4" s="2" t="s">
        <v>3</v>
      </c>
      <c r="E4" s="2"/>
      <c r="F4" s="2"/>
      <c r="G4" s="2"/>
    </row>
    <row r="5" spans="1:11" x14ac:dyDescent="0.3">
      <c r="A5" s="3" t="s">
        <v>4</v>
      </c>
      <c r="B5" s="3"/>
      <c r="C5" s="3"/>
      <c r="D5" s="1">
        <v>2.7E-2</v>
      </c>
      <c r="E5" s="1"/>
      <c r="F5" s="1"/>
      <c r="G5" s="1"/>
    </row>
    <row r="6" spans="1:11" x14ac:dyDescent="0.3">
      <c r="A6" s="3" t="s">
        <v>5</v>
      </c>
      <c r="B6" s="3"/>
      <c r="C6" s="3"/>
      <c r="D6" s="2" t="s">
        <v>6</v>
      </c>
      <c r="E6" s="2"/>
      <c r="F6" s="2"/>
      <c r="G6" s="2"/>
    </row>
    <row r="7" spans="1:11" x14ac:dyDescent="0.3">
      <c r="A7" s="3" t="s">
        <v>7</v>
      </c>
      <c r="B7" s="3"/>
      <c r="C7" s="3"/>
      <c r="D7" s="2" t="s">
        <v>8</v>
      </c>
      <c r="E7" s="2"/>
      <c r="F7" s="2"/>
      <c r="G7" s="2"/>
    </row>
    <row r="9" spans="1:11" ht="19.5" customHeight="1" x14ac:dyDescent="0.3">
      <c r="A9" s="5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31.5" customHeight="1" x14ac:dyDescent="0.3">
      <c r="A10" s="8" t="s">
        <v>10</v>
      </c>
      <c r="B10" s="8" t="s">
        <v>11</v>
      </c>
      <c r="C10" s="8" t="s">
        <v>12</v>
      </c>
      <c r="D10" s="8" t="s">
        <v>13</v>
      </c>
      <c r="E10" s="9" t="s">
        <v>14</v>
      </c>
      <c r="F10" s="9" t="s">
        <v>15</v>
      </c>
      <c r="G10" s="8" t="s">
        <v>16</v>
      </c>
    </row>
    <row r="11" spans="1:11" x14ac:dyDescent="0.3">
      <c r="A11" s="10">
        <v>0.56666666666666698</v>
      </c>
      <c r="B11" s="11">
        <v>0.22</v>
      </c>
      <c r="C11" s="12">
        <v>5</v>
      </c>
      <c r="D11" s="12">
        <f t="shared" ref="D11:D26" si="0">IF(AND(ISNUMBER(B11),ISNUMBER(C11)),B11*C11,"")</f>
        <v>1.1000000000000001</v>
      </c>
      <c r="E11" s="13"/>
      <c r="F11" s="13"/>
      <c r="G11" s="7"/>
    </row>
    <row r="12" spans="1:11" x14ac:dyDescent="0.3">
      <c r="A12" s="10">
        <v>0.56874999999999998</v>
      </c>
      <c r="B12" s="11">
        <v>0.45</v>
      </c>
      <c r="C12" s="12">
        <v>10</v>
      </c>
      <c r="D12" s="12">
        <f t="shared" si="0"/>
        <v>4.5</v>
      </c>
      <c r="E12" s="14">
        <v>9.5999999999999996E-6</v>
      </c>
      <c r="F12" s="14">
        <v>9.5999999999999996E-6</v>
      </c>
      <c r="G12" s="7"/>
    </row>
    <row r="13" spans="1:11" x14ac:dyDescent="0.3">
      <c r="A13" s="10">
        <v>0.57013888888888897</v>
      </c>
      <c r="B13" s="11">
        <v>0.76</v>
      </c>
      <c r="C13" s="12">
        <v>15</v>
      </c>
      <c r="D13" s="12">
        <f t="shared" si="0"/>
        <v>11.4</v>
      </c>
      <c r="E13" s="14">
        <v>9.5999999999999996E-6</v>
      </c>
      <c r="F13" s="14">
        <v>9.5999999999999996E-6</v>
      </c>
      <c r="G13" s="7"/>
    </row>
    <row r="14" spans="1:11" x14ac:dyDescent="0.3">
      <c r="A14" s="10">
        <v>0.57152777777777797</v>
      </c>
      <c r="B14" s="11">
        <v>1.08</v>
      </c>
      <c r="C14" s="12">
        <v>20</v>
      </c>
      <c r="D14" s="12">
        <f t="shared" si="0"/>
        <v>21.6</v>
      </c>
      <c r="E14" s="14">
        <v>9.7000000000000003E-6</v>
      </c>
      <c r="F14" s="14">
        <v>9.7000000000000003E-6</v>
      </c>
      <c r="G14" s="7"/>
    </row>
    <row r="15" spans="1:11" x14ac:dyDescent="0.3">
      <c r="A15" s="10">
        <v>0.57291666666666696</v>
      </c>
      <c r="B15" s="11">
        <v>1.57</v>
      </c>
      <c r="C15" s="12">
        <v>25</v>
      </c>
      <c r="D15" s="12">
        <f t="shared" si="0"/>
        <v>39.25</v>
      </c>
      <c r="E15" s="15">
        <v>1.0000000000000001E-5</v>
      </c>
      <c r="F15" s="15">
        <v>9.2E-6</v>
      </c>
      <c r="G15" s="7"/>
    </row>
    <row r="16" spans="1:11" x14ac:dyDescent="0.3">
      <c r="A16" s="10">
        <v>0.58333333333333304</v>
      </c>
      <c r="B16" s="11">
        <v>1.83</v>
      </c>
      <c r="C16" s="12">
        <v>30</v>
      </c>
      <c r="D16" s="12">
        <f t="shared" si="0"/>
        <v>54.900000000000006</v>
      </c>
      <c r="E16" s="15">
        <v>9.2E-6</v>
      </c>
      <c r="F16" s="14">
        <v>9.3999999999999998E-6</v>
      </c>
      <c r="G16" s="7"/>
    </row>
    <row r="17" spans="1:11" x14ac:dyDescent="0.3">
      <c r="A17" s="10">
        <v>0.58611111111111103</v>
      </c>
      <c r="B17" s="11">
        <v>2.19</v>
      </c>
      <c r="C17" s="12">
        <v>35</v>
      </c>
      <c r="D17" s="12">
        <f t="shared" si="0"/>
        <v>76.649999999999991</v>
      </c>
      <c r="E17" s="14">
        <v>9.3000000000000007E-6</v>
      </c>
      <c r="F17" s="13"/>
      <c r="G17" s="7"/>
    </row>
    <row r="18" spans="1:11" x14ac:dyDescent="0.3">
      <c r="A18" s="10">
        <v>0.58958333333333302</v>
      </c>
      <c r="B18" s="11">
        <v>2.35</v>
      </c>
      <c r="C18" s="12">
        <v>40</v>
      </c>
      <c r="D18" s="12">
        <f t="shared" si="0"/>
        <v>94</v>
      </c>
      <c r="E18" s="14">
        <v>9.3000000000000007E-6</v>
      </c>
      <c r="F18" s="15">
        <v>9.2E-6</v>
      </c>
      <c r="G18" s="7"/>
    </row>
    <row r="19" spans="1:11" x14ac:dyDescent="0.3">
      <c r="A19" s="10">
        <v>0.59236111111111101</v>
      </c>
      <c r="B19" s="11">
        <v>2.68</v>
      </c>
      <c r="C19" s="12">
        <v>45</v>
      </c>
      <c r="D19" s="12">
        <f t="shared" si="0"/>
        <v>120.60000000000001</v>
      </c>
      <c r="E19" s="14">
        <v>9.2E-6</v>
      </c>
      <c r="F19" s="13"/>
      <c r="G19" s="7"/>
    </row>
    <row r="20" spans="1:11" x14ac:dyDescent="0.3">
      <c r="A20" s="10">
        <v>0.59513888888888899</v>
      </c>
      <c r="B20" s="11">
        <v>3.05</v>
      </c>
      <c r="C20" s="12">
        <v>50</v>
      </c>
      <c r="D20" s="12">
        <f t="shared" si="0"/>
        <v>152.5</v>
      </c>
      <c r="E20" s="14">
        <v>9.2E-6</v>
      </c>
      <c r="F20" s="14">
        <v>9.0000000000000002E-6</v>
      </c>
      <c r="G20" s="7"/>
    </row>
    <row r="21" spans="1:11" x14ac:dyDescent="0.3">
      <c r="A21" s="10">
        <v>0.60208333333333297</v>
      </c>
      <c r="B21" s="11">
        <v>3.56</v>
      </c>
      <c r="C21" s="12">
        <v>55</v>
      </c>
      <c r="D21" s="12">
        <f t="shared" si="0"/>
        <v>195.8</v>
      </c>
      <c r="E21" s="14">
        <v>9.2E-6</v>
      </c>
      <c r="F21" s="13"/>
      <c r="G21" s="7"/>
    </row>
    <row r="22" spans="1:11" x14ac:dyDescent="0.3">
      <c r="A22" s="10">
        <v>0.60347222222222197</v>
      </c>
      <c r="B22" s="11">
        <v>4.16</v>
      </c>
      <c r="C22" s="12">
        <v>60</v>
      </c>
      <c r="D22" s="12">
        <f t="shared" si="0"/>
        <v>249.60000000000002</v>
      </c>
      <c r="E22" s="14">
        <v>9.3999999999999998E-6</v>
      </c>
      <c r="F22" s="14">
        <v>9.9000000000000001E-6</v>
      </c>
      <c r="G22" s="7"/>
    </row>
    <row r="23" spans="1:11" x14ac:dyDescent="0.3">
      <c r="A23" s="10">
        <v>0.60486111111111096</v>
      </c>
      <c r="B23" s="11">
        <v>4.5</v>
      </c>
      <c r="C23" s="12">
        <v>65</v>
      </c>
      <c r="D23" s="12">
        <f t="shared" si="0"/>
        <v>292.5</v>
      </c>
      <c r="E23" s="14">
        <v>1.0000000000000001E-5</v>
      </c>
      <c r="F23" s="14">
        <v>1.0000000000000001E-5</v>
      </c>
      <c r="G23" s="7"/>
    </row>
    <row r="24" spans="1:11" x14ac:dyDescent="0.3">
      <c r="A24" s="10">
        <v>0.60624999999999996</v>
      </c>
      <c r="B24" s="11">
        <v>5.09</v>
      </c>
      <c r="C24" s="12">
        <v>70</v>
      </c>
      <c r="D24" s="12">
        <f t="shared" si="0"/>
        <v>356.3</v>
      </c>
      <c r="E24" s="14">
        <v>1.1E-5</v>
      </c>
      <c r="F24" s="14">
        <v>1.1E-5</v>
      </c>
      <c r="G24" s="7"/>
    </row>
    <row r="25" spans="1:11" x14ac:dyDescent="0.3">
      <c r="A25" s="10">
        <v>0.60763888888888895</v>
      </c>
      <c r="B25" s="11">
        <v>5.5</v>
      </c>
      <c r="C25" s="12">
        <v>75</v>
      </c>
      <c r="D25" s="12">
        <f t="shared" si="0"/>
        <v>412.5</v>
      </c>
      <c r="E25" s="14">
        <v>1.2E-5</v>
      </c>
      <c r="F25" s="14">
        <v>1.2E-5</v>
      </c>
      <c r="G25" s="7"/>
    </row>
    <row r="26" spans="1:11" x14ac:dyDescent="0.3">
      <c r="A26" s="10">
        <v>0.60902777777777795</v>
      </c>
      <c r="B26" s="11">
        <v>6.06</v>
      </c>
      <c r="C26" s="12">
        <v>80</v>
      </c>
      <c r="D26" s="12">
        <f t="shared" si="0"/>
        <v>484.79999999999995</v>
      </c>
      <c r="E26" s="14">
        <v>1.2E-5</v>
      </c>
      <c r="F26" s="14">
        <v>1.2999999999999999E-5</v>
      </c>
      <c r="G26" s="7"/>
    </row>
    <row r="28" spans="1:11" ht="19.5" customHeight="1" x14ac:dyDescent="0.3">
      <c r="A28" s="5" t="s">
        <v>17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3">
      <c r="A29" s="16" t="s">
        <v>18</v>
      </c>
    </row>
    <row r="30" spans="1:11" ht="31.5" customHeight="1" x14ac:dyDescent="0.3">
      <c r="A30" s="8" t="s">
        <v>10</v>
      </c>
      <c r="B30" s="8" t="s">
        <v>19</v>
      </c>
      <c r="C30" s="8" t="s">
        <v>20</v>
      </c>
      <c r="D30" s="8" t="s">
        <v>21</v>
      </c>
      <c r="E30" s="8" t="s">
        <v>11</v>
      </c>
      <c r="F30" s="8" t="s">
        <v>12</v>
      </c>
      <c r="G30" s="8" t="s">
        <v>22</v>
      </c>
      <c r="H30" s="8" t="s">
        <v>23</v>
      </c>
      <c r="I30" s="8" t="s">
        <v>24</v>
      </c>
      <c r="J30" s="8" t="s">
        <v>25</v>
      </c>
      <c r="K30" s="8" t="s">
        <v>16</v>
      </c>
    </row>
    <row r="31" spans="1:11" x14ac:dyDescent="0.3">
      <c r="A31" s="13"/>
      <c r="B31" s="14">
        <v>1.2E-2</v>
      </c>
      <c r="C31" s="17">
        <v>116</v>
      </c>
      <c r="D31" s="13"/>
      <c r="E31" s="13"/>
      <c r="F31" s="13"/>
      <c r="G31" s="13" t="s">
        <v>26</v>
      </c>
      <c r="H31" s="13"/>
      <c r="I31" s="13"/>
      <c r="J31" s="13"/>
      <c r="K31" s="7" t="s">
        <v>27</v>
      </c>
    </row>
    <row r="33" spans="1:11" ht="19.5" customHeight="1" x14ac:dyDescent="0.3">
      <c r="A33" s="5" t="s">
        <v>28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3">
      <c r="A34" s="18" t="s">
        <v>29</v>
      </c>
    </row>
  </sheetData>
  <mergeCells count="8">
    <mergeCell ref="A7:C7"/>
    <mergeCell ref="D7:G7"/>
    <mergeCell ref="A4:C4"/>
    <mergeCell ref="D4:G4"/>
    <mergeCell ref="A5:C5"/>
    <mergeCell ref="D5:G5"/>
    <mergeCell ref="A6:C6"/>
    <mergeCell ref="D6:G6"/>
  </mergeCell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5"/>
  <sheetViews>
    <sheetView showGridLines="0" topLeftCell="A10" zoomScaleNormal="100" workbookViewId="0"/>
  </sheetViews>
  <sheetFormatPr defaultColWidth="8.6640625" defaultRowHeight="14.4" x14ac:dyDescent="0.3"/>
  <cols>
    <col min="1" max="1" width="9" customWidth="1"/>
    <col min="2" max="2" width="11" customWidth="1"/>
    <col min="3" max="3" width="10" customWidth="1"/>
    <col min="4" max="7" width="11" customWidth="1"/>
    <col min="8" max="8" width="15" customWidth="1"/>
    <col min="9" max="9" width="13" customWidth="1"/>
    <col min="10" max="10" width="10" customWidth="1"/>
    <col min="11" max="11" width="44" customWidth="1"/>
  </cols>
  <sheetData>
    <row r="1" spans="1:11" ht="17.399999999999999" x14ac:dyDescent="0.3">
      <c r="A1" s="4" t="s">
        <v>30</v>
      </c>
    </row>
    <row r="3" spans="1:11" ht="19.5" customHeight="1" x14ac:dyDescent="0.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3" t="s">
        <v>31</v>
      </c>
      <c r="B4" s="3"/>
      <c r="C4" s="3"/>
      <c r="D4" s="2" t="s">
        <v>32</v>
      </c>
      <c r="E4" s="2"/>
      <c r="F4" s="2"/>
      <c r="G4" s="2"/>
    </row>
    <row r="5" spans="1:11" x14ac:dyDescent="0.3">
      <c r="A5" s="3" t="s">
        <v>33</v>
      </c>
      <c r="B5" s="3"/>
      <c r="C5" s="3"/>
      <c r="D5" s="1">
        <v>3.5999999999999997E-2</v>
      </c>
      <c r="E5" s="1"/>
      <c r="F5" s="1"/>
      <c r="G5" s="1"/>
    </row>
    <row r="6" spans="1:11" x14ac:dyDescent="0.3">
      <c r="A6" s="3" t="s">
        <v>34</v>
      </c>
      <c r="B6" s="3"/>
      <c r="C6" s="3"/>
      <c r="D6" s="2" t="s">
        <v>35</v>
      </c>
      <c r="E6" s="2"/>
      <c r="F6" s="2"/>
      <c r="G6" s="2"/>
    </row>
    <row r="7" spans="1:11" x14ac:dyDescent="0.3">
      <c r="A7" s="3" t="s">
        <v>36</v>
      </c>
      <c r="B7" s="3"/>
      <c r="C7" s="3"/>
      <c r="D7" s="2" t="s">
        <v>37</v>
      </c>
      <c r="E7" s="2"/>
      <c r="F7" s="2"/>
      <c r="G7" s="2"/>
    </row>
    <row r="8" spans="1:11" x14ac:dyDescent="0.3">
      <c r="A8" s="3" t="s">
        <v>38</v>
      </c>
      <c r="B8" s="3"/>
      <c r="C8" s="3"/>
      <c r="D8" s="1">
        <v>5.9000000000000003E-6</v>
      </c>
      <c r="E8" s="1"/>
      <c r="F8" s="1"/>
      <c r="G8" s="1"/>
    </row>
    <row r="10" spans="1:11" ht="19.5" customHeight="1" x14ac:dyDescent="0.3">
      <c r="A10" s="5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31.5" customHeight="1" x14ac:dyDescent="0.3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F11" s="8" t="s">
        <v>15</v>
      </c>
      <c r="G11" s="8" t="s">
        <v>16</v>
      </c>
    </row>
    <row r="12" spans="1:11" x14ac:dyDescent="0.3">
      <c r="A12" s="10">
        <v>0.5</v>
      </c>
      <c r="B12" s="11">
        <v>0.13</v>
      </c>
      <c r="C12" s="12">
        <v>5</v>
      </c>
      <c r="D12" s="12">
        <f t="shared" ref="D12:D24" si="0">IF(AND(ISNUMBER(B12),ISNUMBER(C12)),B12*C12,"")</f>
        <v>0.65</v>
      </c>
      <c r="E12" s="14">
        <v>6.9999999999999999E-6</v>
      </c>
      <c r="F12" s="14">
        <v>7.5000000000000002E-6</v>
      </c>
      <c r="G12" s="7"/>
    </row>
    <row r="13" spans="1:11" x14ac:dyDescent="0.3">
      <c r="A13" s="10">
        <v>0.500694444444444</v>
      </c>
      <c r="B13" s="11">
        <v>0.27</v>
      </c>
      <c r="C13" s="12">
        <v>10</v>
      </c>
      <c r="D13" s="12">
        <f t="shared" si="0"/>
        <v>2.7</v>
      </c>
      <c r="E13" s="14">
        <v>6.9999999999999999E-6</v>
      </c>
      <c r="F13" s="14">
        <v>7.5000000000000002E-6</v>
      </c>
      <c r="G13" s="7"/>
    </row>
    <row r="14" spans="1:11" x14ac:dyDescent="0.3">
      <c r="A14" s="10">
        <v>0.50138888888888899</v>
      </c>
      <c r="B14" s="11">
        <v>0.44</v>
      </c>
      <c r="C14" s="12">
        <v>15</v>
      </c>
      <c r="D14" s="12">
        <f t="shared" si="0"/>
        <v>6.6</v>
      </c>
      <c r="E14" s="14">
        <v>6.9999999999999999E-6</v>
      </c>
      <c r="F14" s="14">
        <v>7.5000000000000002E-6</v>
      </c>
      <c r="G14" s="7"/>
    </row>
    <row r="15" spans="1:11" x14ac:dyDescent="0.3">
      <c r="A15" s="10">
        <v>0.50208333333333299</v>
      </c>
      <c r="B15" s="11">
        <v>0.71</v>
      </c>
      <c r="C15" s="12">
        <v>20</v>
      </c>
      <c r="D15" s="12">
        <f t="shared" si="0"/>
        <v>14.2</v>
      </c>
      <c r="E15" s="14">
        <v>7.0999999999999998E-6</v>
      </c>
      <c r="F15" s="15">
        <v>7.7000000000000008E-6</v>
      </c>
      <c r="G15" s="7"/>
    </row>
    <row r="16" spans="1:11" x14ac:dyDescent="0.3">
      <c r="A16" s="10">
        <v>0.50347222222222199</v>
      </c>
      <c r="B16" s="11">
        <v>1.03</v>
      </c>
      <c r="C16" s="12">
        <v>25</v>
      </c>
      <c r="D16" s="12">
        <f t="shared" si="0"/>
        <v>25.75</v>
      </c>
      <c r="E16" s="14">
        <v>7.1999999999999997E-6</v>
      </c>
      <c r="F16" s="14">
        <v>7.7000000000000008E-6</v>
      </c>
      <c r="G16" s="7"/>
    </row>
    <row r="17" spans="1:11" x14ac:dyDescent="0.3">
      <c r="A17" s="10">
        <v>0.50694444444444398</v>
      </c>
      <c r="B17" s="11">
        <v>1.51</v>
      </c>
      <c r="C17" s="12">
        <v>30</v>
      </c>
      <c r="D17" s="12">
        <f t="shared" si="0"/>
        <v>45.3</v>
      </c>
      <c r="E17" s="14">
        <v>7.1999999999999997E-6</v>
      </c>
      <c r="F17" s="14">
        <v>7.7999999999999999E-6</v>
      </c>
      <c r="G17" s="7"/>
    </row>
    <row r="18" spans="1:11" x14ac:dyDescent="0.3">
      <c r="A18" s="10">
        <v>0.50972222222222197</v>
      </c>
      <c r="B18" s="11">
        <v>1.9</v>
      </c>
      <c r="C18" s="12">
        <v>35</v>
      </c>
      <c r="D18" s="12">
        <f t="shared" si="0"/>
        <v>66.5</v>
      </c>
      <c r="E18" s="14">
        <v>7.1999999999999997E-6</v>
      </c>
      <c r="F18" s="14">
        <v>7.6000000000000001E-6</v>
      </c>
      <c r="G18" s="7"/>
    </row>
    <row r="19" spans="1:11" x14ac:dyDescent="0.3">
      <c r="A19" s="10">
        <v>0.51180555555555596</v>
      </c>
      <c r="B19" s="11">
        <v>2.2999999999999998</v>
      </c>
      <c r="C19" s="12">
        <v>40</v>
      </c>
      <c r="D19" s="12">
        <f t="shared" si="0"/>
        <v>92</v>
      </c>
      <c r="E19" s="14">
        <v>7.3000000000000004E-6</v>
      </c>
      <c r="F19" s="14">
        <v>7.7000000000000008E-6</v>
      </c>
      <c r="G19" s="7"/>
    </row>
    <row r="20" spans="1:11" x14ac:dyDescent="0.3">
      <c r="A20" s="10">
        <v>0.51666666666666705</v>
      </c>
      <c r="B20" s="11">
        <v>2.63</v>
      </c>
      <c r="C20" s="12">
        <v>45</v>
      </c>
      <c r="D20" s="12">
        <f t="shared" si="0"/>
        <v>118.35</v>
      </c>
      <c r="E20" s="14">
        <v>6.9999999999999999E-6</v>
      </c>
      <c r="F20" s="14">
        <v>7.5000000000000002E-6</v>
      </c>
      <c r="G20" s="7"/>
    </row>
    <row r="21" spans="1:11" x14ac:dyDescent="0.3">
      <c r="A21" s="10">
        <v>0.51875000000000004</v>
      </c>
      <c r="B21" s="11">
        <v>3.03</v>
      </c>
      <c r="C21" s="12">
        <v>50</v>
      </c>
      <c r="D21" s="12">
        <f t="shared" si="0"/>
        <v>151.5</v>
      </c>
      <c r="E21" s="14">
        <v>7.0999999999999998E-6</v>
      </c>
      <c r="F21" s="14">
        <v>7.6000000000000001E-6</v>
      </c>
      <c r="G21" s="7"/>
    </row>
    <row r="22" spans="1:11" x14ac:dyDescent="0.3">
      <c r="A22" s="10">
        <v>0.52430555555555602</v>
      </c>
      <c r="B22" s="11">
        <v>3.44</v>
      </c>
      <c r="C22" s="12">
        <v>55</v>
      </c>
      <c r="D22" s="12">
        <f t="shared" si="0"/>
        <v>189.2</v>
      </c>
      <c r="E22" s="14">
        <v>6.9999999999999999E-6</v>
      </c>
      <c r="F22" s="14">
        <v>7.4000000000000003E-6</v>
      </c>
      <c r="G22" s="7"/>
    </row>
    <row r="23" spans="1:11" x14ac:dyDescent="0.3">
      <c r="A23" s="10">
        <v>0.52708333333333302</v>
      </c>
      <c r="B23" s="11">
        <v>3.82</v>
      </c>
      <c r="C23" s="12">
        <v>60</v>
      </c>
      <c r="D23" s="12">
        <f t="shared" si="0"/>
        <v>229.2</v>
      </c>
      <c r="E23" s="14">
        <v>6.9999999999999999E-6</v>
      </c>
      <c r="F23" s="14">
        <v>7.5000000000000002E-6</v>
      </c>
      <c r="G23" s="7"/>
    </row>
    <row r="24" spans="1:11" x14ac:dyDescent="0.3">
      <c r="A24" s="10">
        <v>0.53125</v>
      </c>
      <c r="B24" s="11">
        <v>4.1900000000000004</v>
      </c>
      <c r="C24" s="12">
        <v>65</v>
      </c>
      <c r="D24" s="12">
        <f t="shared" si="0"/>
        <v>272.35000000000002</v>
      </c>
      <c r="E24" s="15">
        <v>6.0000000000000002E-6</v>
      </c>
      <c r="F24" s="14">
        <v>7.6000000000000001E-6</v>
      </c>
      <c r="G24" s="7"/>
    </row>
    <row r="26" spans="1:11" ht="19.5" customHeight="1" x14ac:dyDescent="0.3">
      <c r="A26" s="5" t="s">
        <v>17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3">
      <c r="A27" s="16" t="s">
        <v>18</v>
      </c>
    </row>
    <row r="28" spans="1:11" ht="31.5" customHeight="1" x14ac:dyDescent="0.3">
      <c r="A28" s="8" t="s">
        <v>10</v>
      </c>
      <c r="B28" s="8" t="s">
        <v>19</v>
      </c>
      <c r="C28" s="8" t="s">
        <v>20</v>
      </c>
      <c r="D28" s="8" t="s">
        <v>21</v>
      </c>
      <c r="E28" s="8" t="s">
        <v>11</v>
      </c>
      <c r="F28" s="8" t="s">
        <v>12</v>
      </c>
      <c r="G28" s="8" t="s">
        <v>22</v>
      </c>
      <c r="H28" s="8" t="s">
        <v>23</v>
      </c>
      <c r="I28" s="8" t="s">
        <v>24</v>
      </c>
      <c r="J28" s="8" t="s">
        <v>25</v>
      </c>
      <c r="K28" s="8" t="s">
        <v>16</v>
      </c>
    </row>
    <row r="29" spans="1:11" x14ac:dyDescent="0.3">
      <c r="A29" s="13"/>
      <c r="B29" s="13"/>
      <c r="C29" s="13"/>
      <c r="D29" s="13"/>
      <c r="E29" s="13"/>
      <c r="F29" s="13"/>
      <c r="G29" s="13" t="s">
        <v>26</v>
      </c>
      <c r="H29" s="13"/>
      <c r="I29" s="13"/>
      <c r="J29" s="13"/>
      <c r="K29" s="7" t="s">
        <v>39</v>
      </c>
    </row>
    <row r="31" spans="1:11" ht="19.5" customHeight="1" x14ac:dyDescent="0.3">
      <c r="A31" s="5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">
      <c r="A32" s="18" t="s">
        <v>40</v>
      </c>
    </row>
    <row r="33" spans="1:1" x14ac:dyDescent="0.3">
      <c r="A33" s="18" t="s">
        <v>41</v>
      </c>
    </row>
    <row r="34" spans="1:1" x14ac:dyDescent="0.3">
      <c r="A34" s="18" t="s">
        <v>42</v>
      </c>
    </row>
    <row r="35" spans="1:1" x14ac:dyDescent="0.3">
      <c r="A35" s="18" t="s">
        <v>43</v>
      </c>
    </row>
  </sheetData>
  <mergeCells count="10">
    <mergeCell ref="A7:C7"/>
    <mergeCell ref="D7:G7"/>
    <mergeCell ref="A8:C8"/>
    <mergeCell ref="D8:G8"/>
    <mergeCell ref="A4:C4"/>
    <mergeCell ref="D4:G4"/>
    <mergeCell ref="A5:C5"/>
    <mergeCell ref="D5:G5"/>
    <mergeCell ref="A6:C6"/>
    <mergeCell ref="D6:G6"/>
  </mergeCell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8"/>
  <sheetViews>
    <sheetView showGridLines="0" topLeftCell="A25" zoomScaleNormal="100" workbookViewId="0">
      <selection activeCell="E59" sqref="E59"/>
    </sheetView>
  </sheetViews>
  <sheetFormatPr defaultColWidth="8.6640625" defaultRowHeight="14.4" x14ac:dyDescent="0.3"/>
  <cols>
    <col min="1" max="1" width="9" customWidth="1"/>
    <col min="2" max="2" width="11" customWidth="1"/>
    <col min="3" max="3" width="10" customWidth="1"/>
    <col min="4" max="7" width="11" customWidth="1"/>
    <col min="8" max="8" width="15" customWidth="1"/>
    <col min="9" max="9" width="13" customWidth="1"/>
    <col min="10" max="10" width="10" customWidth="1"/>
    <col min="11" max="11" width="44" customWidth="1"/>
  </cols>
  <sheetData>
    <row r="1" spans="1:11" ht="17.399999999999999" x14ac:dyDescent="0.3">
      <c r="A1" s="4" t="s">
        <v>44</v>
      </c>
    </row>
    <row r="3" spans="1:11" ht="19.5" customHeight="1" x14ac:dyDescent="0.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3" t="s">
        <v>31</v>
      </c>
      <c r="B4" s="3"/>
      <c r="C4" s="3"/>
      <c r="D4" s="2" t="s">
        <v>32</v>
      </c>
      <c r="E4" s="2"/>
      <c r="F4" s="2"/>
      <c r="G4" s="2"/>
    </row>
    <row r="5" spans="1:11" x14ac:dyDescent="0.3">
      <c r="A5" s="3" t="s">
        <v>33</v>
      </c>
      <c r="B5" s="3"/>
      <c r="C5" s="3"/>
      <c r="D5" s="2">
        <v>0.7</v>
      </c>
      <c r="E5" s="2"/>
      <c r="F5" s="2"/>
      <c r="G5" s="2"/>
    </row>
    <row r="6" spans="1:11" x14ac:dyDescent="0.3">
      <c r="A6" s="3" t="s">
        <v>34</v>
      </c>
      <c r="B6" s="3"/>
      <c r="C6" s="3"/>
      <c r="D6" s="2" t="s">
        <v>45</v>
      </c>
      <c r="E6" s="2"/>
      <c r="F6" s="2"/>
      <c r="G6" s="2"/>
    </row>
    <row r="7" spans="1:11" x14ac:dyDescent="0.3">
      <c r="A7" s="3" t="s">
        <v>36</v>
      </c>
      <c r="B7" s="3"/>
      <c r="C7" s="3"/>
      <c r="D7" s="2" t="s">
        <v>46</v>
      </c>
      <c r="E7" s="2"/>
      <c r="F7" s="2"/>
      <c r="G7" s="2"/>
    </row>
    <row r="9" spans="1:11" ht="19.5" customHeight="1" x14ac:dyDescent="0.3">
      <c r="A9" s="5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31.5" customHeight="1" x14ac:dyDescent="0.3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</row>
    <row r="11" spans="1:11" x14ac:dyDescent="0.3">
      <c r="A11" s="10">
        <v>0.625</v>
      </c>
      <c r="B11" s="13"/>
      <c r="C11" s="12">
        <v>5</v>
      </c>
      <c r="D11" s="12" t="str">
        <f t="shared" ref="D11:D37" si="0">IF(AND(ISNUMBER(B11),ISNUMBER(C11)),B11*C11,"")</f>
        <v/>
      </c>
      <c r="E11" s="13"/>
      <c r="F11" s="13"/>
      <c r="G11" s="7" t="s">
        <v>47</v>
      </c>
    </row>
    <row r="12" spans="1:11" x14ac:dyDescent="0.3">
      <c r="A12" s="10">
        <v>0.62638888888888899</v>
      </c>
      <c r="B12" s="11">
        <v>0.17</v>
      </c>
      <c r="C12" s="12">
        <v>7</v>
      </c>
      <c r="D12" s="12">
        <f t="shared" si="0"/>
        <v>1.1900000000000002</v>
      </c>
      <c r="E12" s="13"/>
      <c r="F12" s="14">
        <v>9.7999999999999993E-6</v>
      </c>
      <c r="G12" s="7"/>
    </row>
    <row r="13" spans="1:11" x14ac:dyDescent="0.3">
      <c r="A13" s="10">
        <v>0.62847222222222199</v>
      </c>
      <c r="B13" s="11">
        <v>0.35</v>
      </c>
      <c r="C13" s="12">
        <v>10</v>
      </c>
      <c r="D13" s="12">
        <f t="shared" si="0"/>
        <v>3.5</v>
      </c>
      <c r="E13" s="13"/>
      <c r="F13" s="14">
        <v>9.7999999999999993E-6</v>
      </c>
      <c r="G13" s="7"/>
    </row>
    <row r="14" spans="1:11" x14ac:dyDescent="0.3">
      <c r="A14" s="10">
        <v>0.62986111111111098</v>
      </c>
      <c r="B14" s="11">
        <v>0.48</v>
      </c>
      <c r="C14" s="12">
        <v>15</v>
      </c>
      <c r="D14" s="12">
        <f t="shared" si="0"/>
        <v>7.1999999999999993</v>
      </c>
      <c r="E14" s="13"/>
      <c r="F14" s="15">
        <v>9.7000000000000003E-6</v>
      </c>
      <c r="G14" s="7"/>
    </row>
    <row r="15" spans="1:11" x14ac:dyDescent="0.3">
      <c r="A15" s="10">
        <v>0.63124999999999998</v>
      </c>
      <c r="B15" s="19">
        <v>1.1599999999999999</v>
      </c>
      <c r="C15" s="12">
        <v>20</v>
      </c>
      <c r="D15" s="12">
        <f t="shared" si="0"/>
        <v>23.2</v>
      </c>
      <c r="E15" s="13"/>
      <c r="F15" s="15">
        <v>9.9000000000000001E-6</v>
      </c>
      <c r="G15" s="7"/>
    </row>
    <row r="16" spans="1:11" x14ac:dyDescent="0.3">
      <c r="A16" s="10">
        <v>0.63333333333333297</v>
      </c>
      <c r="B16" s="11">
        <v>1.46</v>
      </c>
      <c r="C16" s="12">
        <v>22</v>
      </c>
      <c r="D16" s="12">
        <f t="shared" si="0"/>
        <v>32.119999999999997</v>
      </c>
      <c r="E16" s="13"/>
      <c r="F16" s="14">
        <v>9.9000000000000001E-6</v>
      </c>
      <c r="G16" s="7"/>
    </row>
    <row r="17" spans="1:7" x14ac:dyDescent="0.3">
      <c r="A17" s="10">
        <v>0.63888888888888895</v>
      </c>
      <c r="B17" s="11">
        <v>1.51</v>
      </c>
      <c r="C17" s="12">
        <v>24</v>
      </c>
      <c r="D17" s="12">
        <f t="shared" si="0"/>
        <v>36.24</v>
      </c>
      <c r="E17" s="13"/>
      <c r="F17" s="14">
        <v>9.9000000000000001E-6</v>
      </c>
      <c r="G17" s="7"/>
    </row>
    <row r="18" spans="1:7" x14ac:dyDescent="0.3">
      <c r="A18" s="10">
        <v>0.64027777777777795</v>
      </c>
      <c r="B18" s="11">
        <v>1.67</v>
      </c>
      <c r="C18" s="12">
        <v>26</v>
      </c>
      <c r="D18" s="12">
        <f t="shared" si="0"/>
        <v>43.42</v>
      </c>
      <c r="E18" s="13"/>
      <c r="F18" s="14">
        <v>9.9000000000000001E-6</v>
      </c>
      <c r="G18" s="7"/>
    </row>
    <row r="19" spans="1:7" x14ac:dyDescent="0.3">
      <c r="A19" s="10">
        <v>0.64166666666666705</v>
      </c>
      <c r="B19" s="11">
        <v>1.87</v>
      </c>
      <c r="C19" s="12">
        <v>29</v>
      </c>
      <c r="D19" s="12">
        <f t="shared" si="0"/>
        <v>54.230000000000004</v>
      </c>
      <c r="E19" s="13"/>
      <c r="F19" s="15">
        <v>1.0000000000000001E-5</v>
      </c>
      <c r="G19" s="7"/>
    </row>
    <row r="20" spans="1:7" x14ac:dyDescent="0.3">
      <c r="A20" s="10">
        <v>0.65</v>
      </c>
      <c r="B20" s="11">
        <v>2.0699999999999998</v>
      </c>
      <c r="C20" s="12">
        <v>35</v>
      </c>
      <c r="D20" s="12">
        <f t="shared" si="0"/>
        <v>72.449999999999989</v>
      </c>
      <c r="E20" s="13"/>
      <c r="F20" s="14">
        <v>9.7999999999999993E-6</v>
      </c>
      <c r="G20" s="7"/>
    </row>
    <row r="21" spans="1:7" x14ac:dyDescent="0.3">
      <c r="A21" s="10">
        <v>0.65347222222222201</v>
      </c>
      <c r="B21" s="11">
        <v>2.27</v>
      </c>
      <c r="C21" s="12">
        <v>40</v>
      </c>
      <c r="D21" s="12">
        <f t="shared" si="0"/>
        <v>90.8</v>
      </c>
      <c r="E21" s="13"/>
      <c r="F21" s="14">
        <v>9.7999999999999993E-6</v>
      </c>
      <c r="G21" s="7"/>
    </row>
    <row r="22" spans="1:7" x14ac:dyDescent="0.3">
      <c r="A22" s="10">
        <v>0.656944444444444</v>
      </c>
      <c r="B22" s="11">
        <v>2.66</v>
      </c>
      <c r="C22" s="12">
        <v>45</v>
      </c>
      <c r="D22" s="12">
        <f t="shared" si="0"/>
        <v>119.7</v>
      </c>
      <c r="E22" s="13"/>
      <c r="F22" s="14">
        <v>9.7999999999999993E-6</v>
      </c>
      <c r="G22" s="7"/>
    </row>
    <row r="23" spans="1:7" x14ac:dyDescent="0.3">
      <c r="A23" s="10">
        <v>0.66111111111111098</v>
      </c>
      <c r="B23" s="11">
        <v>2.88</v>
      </c>
      <c r="C23" s="12">
        <v>50</v>
      </c>
      <c r="D23" s="12">
        <f t="shared" si="0"/>
        <v>144</v>
      </c>
      <c r="E23" s="13"/>
      <c r="F23" s="14">
        <v>9.5999999999999996E-6</v>
      </c>
      <c r="G23" s="7"/>
    </row>
    <row r="24" spans="1:7" x14ac:dyDescent="0.3">
      <c r="A24" s="10">
        <v>0.66319444444444398</v>
      </c>
      <c r="B24" s="11">
        <v>2.99</v>
      </c>
      <c r="C24" s="12">
        <v>52</v>
      </c>
      <c r="D24" s="12">
        <f t="shared" si="0"/>
        <v>155.48000000000002</v>
      </c>
      <c r="E24" s="13"/>
      <c r="F24" s="14">
        <v>9.5999999999999996E-6</v>
      </c>
      <c r="G24" s="7"/>
    </row>
    <row r="25" spans="1:7" x14ac:dyDescent="0.3">
      <c r="A25" s="10">
        <v>0.66458333333333297</v>
      </c>
      <c r="B25" s="11">
        <v>3.03</v>
      </c>
      <c r="C25" s="12">
        <v>54</v>
      </c>
      <c r="D25" s="12">
        <f t="shared" si="0"/>
        <v>163.61999999999998</v>
      </c>
      <c r="E25" s="13"/>
      <c r="F25" s="14">
        <v>9.5999999999999996E-6</v>
      </c>
      <c r="G25" s="7"/>
    </row>
    <row r="26" spans="1:7" x14ac:dyDescent="0.3">
      <c r="A26" s="10">
        <v>0.66736111111111096</v>
      </c>
      <c r="B26" s="19">
        <v>3.11</v>
      </c>
      <c r="C26" s="12">
        <v>56</v>
      </c>
      <c r="D26" s="12">
        <f t="shared" si="0"/>
        <v>174.16</v>
      </c>
      <c r="E26" s="13"/>
      <c r="F26" s="14">
        <v>9.5999999999999996E-6</v>
      </c>
      <c r="G26" s="7"/>
    </row>
    <row r="27" spans="1:7" x14ac:dyDescent="0.3">
      <c r="A27" s="10">
        <v>0.66944444444444395</v>
      </c>
      <c r="B27" s="11">
        <v>3.4</v>
      </c>
      <c r="C27" s="12">
        <v>60</v>
      </c>
      <c r="D27" s="12">
        <f t="shared" si="0"/>
        <v>204</v>
      </c>
      <c r="E27" s="13"/>
      <c r="F27" s="14">
        <v>9.9000000000000001E-6</v>
      </c>
      <c r="G27" s="7"/>
    </row>
    <row r="28" spans="1:7" x14ac:dyDescent="0.3">
      <c r="A28" s="10">
        <v>0.68055555555555602</v>
      </c>
      <c r="B28" s="11">
        <v>3.41</v>
      </c>
      <c r="C28" s="12">
        <v>62</v>
      </c>
      <c r="D28" s="12">
        <f t="shared" si="0"/>
        <v>211.42000000000002</v>
      </c>
      <c r="E28" s="13"/>
      <c r="F28" s="14">
        <v>9.7999999999999993E-6</v>
      </c>
      <c r="G28" s="7"/>
    </row>
    <row r="29" spans="1:7" x14ac:dyDescent="0.3">
      <c r="A29" s="10">
        <v>0.68194444444444502</v>
      </c>
      <c r="B29" s="11">
        <v>3.6</v>
      </c>
      <c r="C29" s="12">
        <v>64</v>
      </c>
      <c r="D29" s="12">
        <f t="shared" si="0"/>
        <v>230.4</v>
      </c>
      <c r="E29" s="13"/>
      <c r="F29" s="14">
        <v>9.9000000000000001E-6</v>
      </c>
      <c r="G29" s="7"/>
    </row>
    <row r="30" spans="1:7" x14ac:dyDescent="0.3">
      <c r="A30" s="10">
        <v>0.68472222222222201</v>
      </c>
      <c r="B30" s="11">
        <v>3.71</v>
      </c>
      <c r="C30" s="12">
        <v>66</v>
      </c>
      <c r="D30" s="12">
        <f t="shared" si="0"/>
        <v>244.85999999999999</v>
      </c>
      <c r="E30" s="13"/>
      <c r="F30" s="14">
        <v>9.9000000000000001E-6</v>
      </c>
      <c r="G30" s="7"/>
    </row>
    <row r="31" spans="1:7" x14ac:dyDescent="0.3">
      <c r="A31" s="10">
        <v>0.68958333333333299</v>
      </c>
      <c r="B31" s="11">
        <v>3.83</v>
      </c>
      <c r="C31" s="12">
        <v>68</v>
      </c>
      <c r="D31" s="12">
        <f t="shared" si="0"/>
        <v>260.44</v>
      </c>
      <c r="E31" s="13"/>
      <c r="F31" s="14">
        <v>9.9000000000000001E-6</v>
      </c>
      <c r="G31" s="7"/>
    </row>
    <row r="32" spans="1:7" x14ac:dyDescent="0.3">
      <c r="A32" s="10">
        <v>0.69374999999999998</v>
      </c>
      <c r="B32" s="11">
        <v>3.97</v>
      </c>
      <c r="C32" s="12">
        <v>70</v>
      </c>
      <c r="D32" s="12">
        <f t="shared" si="0"/>
        <v>277.90000000000003</v>
      </c>
      <c r="E32" s="13"/>
      <c r="F32" s="14">
        <v>9.7999999999999993E-6</v>
      </c>
      <c r="G32" s="7"/>
    </row>
    <row r="33" spans="1:11" x14ac:dyDescent="0.3">
      <c r="A33" s="10">
        <v>0.69930555555555596</v>
      </c>
      <c r="B33" s="11">
        <v>3.44</v>
      </c>
      <c r="C33" s="12">
        <v>72</v>
      </c>
      <c r="D33" s="12">
        <f t="shared" si="0"/>
        <v>247.68</v>
      </c>
      <c r="E33" s="13"/>
      <c r="F33" s="14">
        <v>9.3000000000000007E-6</v>
      </c>
      <c r="G33" s="7"/>
    </row>
    <row r="34" spans="1:11" x14ac:dyDescent="0.3">
      <c r="A34" s="10">
        <v>0.70277777777777795</v>
      </c>
      <c r="B34" s="11">
        <v>3.3</v>
      </c>
      <c r="C34" s="12">
        <v>74</v>
      </c>
      <c r="D34" s="12">
        <f t="shared" si="0"/>
        <v>244.2</v>
      </c>
      <c r="E34" s="13"/>
      <c r="F34" s="14">
        <v>9.0999999999999993E-6</v>
      </c>
      <c r="G34" s="7"/>
    </row>
    <row r="35" spans="1:11" x14ac:dyDescent="0.3">
      <c r="A35" s="10">
        <v>0.70416666666666705</v>
      </c>
      <c r="B35" s="11">
        <v>3.29</v>
      </c>
      <c r="C35" s="12">
        <v>76</v>
      </c>
      <c r="D35" s="12">
        <f t="shared" si="0"/>
        <v>250.04</v>
      </c>
      <c r="E35" s="13"/>
      <c r="F35" s="14">
        <v>9.0999999999999993E-6</v>
      </c>
      <c r="G35" s="7"/>
    </row>
    <row r="36" spans="1:11" x14ac:dyDescent="0.3">
      <c r="A36" s="10">
        <v>0.70625000000000004</v>
      </c>
      <c r="B36" s="11">
        <v>3.25</v>
      </c>
      <c r="C36" s="20">
        <v>80</v>
      </c>
      <c r="D36" s="12">
        <f t="shared" si="0"/>
        <v>260</v>
      </c>
      <c r="E36" s="13"/>
      <c r="F36" s="14">
        <v>9.0000000000000002E-6</v>
      </c>
      <c r="G36" s="7"/>
    </row>
    <row r="37" spans="1:11" x14ac:dyDescent="0.3">
      <c r="A37" s="10">
        <v>0.72916666666666696</v>
      </c>
      <c r="B37" s="11">
        <v>5.09</v>
      </c>
      <c r="C37" s="12">
        <v>88</v>
      </c>
      <c r="D37" s="12">
        <f t="shared" si="0"/>
        <v>447.91999999999996</v>
      </c>
      <c r="E37" s="13"/>
      <c r="F37" s="13"/>
      <c r="G37" s="7" t="s">
        <v>48</v>
      </c>
    </row>
    <row r="39" spans="1:11" ht="19.5" customHeight="1" x14ac:dyDescent="0.3">
      <c r="A39" s="5" t="s">
        <v>17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3">
      <c r="A40" s="16" t="s">
        <v>18</v>
      </c>
    </row>
    <row r="41" spans="1:11" ht="31.5" customHeight="1" x14ac:dyDescent="0.3">
      <c r="A41" s="8" t="s">
        <v>10</v>
      </c>
      <c r="B41" s="8" t="s">
        <v>19</v>
      </c>
      <c r="C41" s="8" t="s">
        <v>20</v>
      </c>
      <c r="D41" s="8" t="s">
        <v>21</v>
      </c>
      <c r="E41" s="8" t="s">
        <v>11</v>
      </c>
      <c r="F41" s="8" t="s">
        <v>12</v>
      </c>
      <c r="G41" s="8" t="s">
        <v>22</v>
      </c>
      <c r="H41" s="8" t="s">
        <v>23</v>
      </c>
      <c r="I41" s="8" t="s">
        <v>24</v>
      </c>
      <c r="J41" s="8" t="s">
        <v>25</v>
      </c>
      <c r="K41" s="8" t="s">
        <v>16</v>
      </c>
    </row>
    <row r="42" spans="1:11" x14ac:dyDescent="0.3">
      <c r="A42" s="13"/>
      <c r="B42" s="13"/>
      <c r="C42" s="13"/>
      <c r="D42" s="21">
        <v>13</v>
      </c>
      <c r="E42" s="13"/>
      <c r="F42" s="13"/>
      <c r="G42" s="13"/>
      <c r="H42" s="13"/>
      <c r="I42" s="13"/>
      <c r="J42" s="13"/>
      <c r="K42" s="7" t="s">
        <v>49</v>
      </c>
    </row>
    <row r="43" spans="1:11" x14ac:dyDescent="0.3">
      <c r="A43" s="13"/>
      <c r="B43" s="14">
        <v>1.29E-2</v>
      </c>
      <c r="C43" s="17">
        <v>116</v>
      </c>
      <c r="D43" s="21">
        <v>13.7</v>
      </c>
      <c r="E43" s="13"/>
      <c r="F43" s="13"/>
      <c r="G43" s="13"/>
      <c r="H43" s="13"/>
      <c r="I43" s="13" t="s">
        <v>50</v>
      </c>
      <c r="J43" s="13"/>
      <c r="K43" s="7" t="s">
        <v>51</v>
      </c>
    </row>
    <row r="44" spans="1:11" x14ac:dyDescent="0.3">
      <c r="A44" s="13"/>
      <c r="B44" s="14">
        <v>1.3100000000000001E-2</v>
      </c>
      <c r="C44" s="22">
        <v>100</v>
      </c>
      <c r="D44" s="21">
        <v>13.2</v>
      </c>
      <c r="E44" s="13"/>
      <c r="F44" s="13"/>
      <c r="G44" s="13"/>
      <c r="H44" s="13"/>
      <c r="I44" s="13" t="s">
        <v>52</v>
      </c>
      <c r="J44" s="13"/>
      <c r="K44" s="7"/>
    </row>
    <row r="46" spans="1:11" ht="19.5" customHeight="1" x14ac:dyDescent="0.3">
      <c r="A46" s="5" t="s">
        <v>28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3">
      <c r="A47" s="18" t="s">
        <v>53</v>
      </c>
    </row>
    <row r="48" spans="1:11" x14ac:dyDescent="0.3">
      <c r="A48" s="18" t="s">
        <v>54</v>
      </c>
    </row>
  </sheetData>
  <mergeCells count="8">
    <mergeCell ref="A7:C7"/>
    <mergeCell ref="D7:G7"/>
    <mergeCell ref="A4:C4"/>
    <mergeCell ref="D4:G4"/>
    <mergeCell ref="A5:C5"/>
    <mergeCell ref="D5:G5"/>
    <mergeCell ref="A6:C6"/>
    <mergeCell ref="D6:G6"/>
  </mergeCell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69"/>
  <sheetViews>
    <sheetView showGridLines="0" tabSelected="1" zoomScaleNormal="100" workbookViewId="0">
      <selection activeCell="H8" sqref="H8"/>
    </sheetView>
  </sheetViews>
  <sheetFormatPr defaultColWidth="8.6640625" defaultRowHeight="14.4" x14ac:dyDescent="0.3"/>
  <cols>
    <col min="1" max="1" width="9" customWidth="1"/>
    <col min="2" max="2" width="11" customWidth="1"/>
    <col min="3" max="3" width="16.6640625" customWidth="1"/>
    <col min="4" max="6" width="11" customWidth="1"/>
    <col min="7" max="7" width="18.6640625" customWidth="1"/>
    <col min="8" max="8" width="15" customWidth="1"/>
    <col min="9" max="9" width="13" customWidth="1"/>
    <col min="10" max="10" width="10" customWidth="1"/>
    <col min="11" max="11" width="44" customWidth="1"/>
  </cols>
  <sheetData>
    <row r="1" spans="1:11" ht="17.399999999999999" x14ac:dyDescent="0.3">
      <c r="A1" s="4" t="s">
        <v>55</v>
      </c>
    </row>
    <row r="3" spans="1:11" ht="19.5" customHeight="1" x14ac:dyDescent="0.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3" t="s">
        <v>56</v>
      </c>
      <c r="B4" s="3"/>
      <c r="C4" s="3"/>
      <c r="D4" s="2" t="s">
        <v>57</v>
      </c>
      <c r="E4" s="2"/>
      <c r="F4" s="2"/>
      <c r="G4" s="2"/>
    </row>
    <row r="5" spans="1:11" x14ac:dyDescent="0.3">
      <c r="A5" s="3" t="s">
        <v>58</v>
      </c>
      <c r="B5" s="3"/>
      <c r="C5" s="3"/>
      <c r="D5" s="2" t="s">
        <v>59</v>
      </c>
      <c r="E5" s="2"/>
      <c r="F5" s="2"/>
      <c r="G5" s="2"/>
    </row>
    <row r="6" spans="1:11" x14ac:dyDescent="0.3">
      <c r="A6" s="3" t="s">
        <v>60</v>
      </c>
      <c r="B6" s="3"/>
      <c r="C6" s="3"/>
      <c r="D6" s="2" t="s">
        <v>61</v>
      </c>
      <c r="E6" s="2"/>
      <c r="F6" s="2"/>
      <c r="G6" s="2"/>
    </row>
    <row r="7" spans="1:11" x14ac:dyDescent="0.3">
      <c r="A7" s="3" t="s">
        <v>62</v>
      </c>
      <c r="B7" s="3"/>
      <c r="C7" s="3"/>
      <c r="D7" s="2" t="s">
        <v>63</v>
      </c>
      <c r="E7" s="2"/>
      <c r="F7" s="2"/>
      <c r="G7" s="2"/>
    </row>
    <row r="8" spans="1:11" x14ac:dyDescent="0.3">
      <c r="A8" s="3" t="s">
        <v>64</v>
      </c>
      <c r="B8" s="3"/>
      <c r="C8" s="3"/>
      <c r="D8" s="1">
        <v>6.7000000000000002E-6</v>
      </c>
      <c r="E8" s="1"/>
      <c r="F8" s="1"/>
      <c r="G8" s="1"/>
    </row>
    <row r="9" spans="1:11" x14ac:dyDescent="0.3">
      <c r="A9" s="3" t="s">
        <v>65</v>
      </c>
      <c r="B9" s="3"/>
      <c r="C9" s="3"/>
      <c r="D9" s="2" t="s">
        <v>94</v>
      </c>
      <c r="E9" s="2"/>
      <c r="F9" s="2"/>
      <c r="G9" s="2"/>
    </row>
    <row r="10" spans="1:11" x14ac:dyDescent="0.3">
      <c r="A10" s="3" t="s">
        <v>66</v>
      </c>
      <c r="B10" s="3"/>
      <c r="C10" s="3"/>
      <c r="D10" s="2" t="s">
        <v>67</v>
      </c>
      <c r="E10" s="2"/>
      <c r="F10" s="2"/>
      <c r="G10" s="2"/>
    </row>
    <row r="12" spans="1:11" ht="19.5" customHeight="1" x14ac:dyDescent="0.3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31.5" customHeight="1" x14ac:dyDescent="0.3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  <c r="G13" s="8" t="s">
        <v>16</v>
      </c>
    </row>
    <row r="14" spans="1:11" x14ac:dyDescent="0.3">
      <c r="A14" s="10">
        <v>0.50902777777777797</v>
      </c>
      <c r="B14" s="11">
        <v>0.19</v>
      </c>
      <c r="C14" s="12">
        <v>10</v>
      </c>
      <c r="D14" s="12">
        <f t="shared" ref="D14:D42" si="0">IF(AND(ISNUMBER(B14),ISNUMBER(C14)),B14*C14,"")</f>
        <v>1.9</v>
      </c>
      <c r="E14" s="13"/>
      <c r="F14" s="14">
        <v>6.6000000000000003E-6</v>
      </c>
      <c r="G14" s="7"/>
    </row>
    <row r="15" spans="1:11" x14ac:dyDescent="0.3">
      <c r="A15" s="10">
        <v>0.50972222222222197</v>
      </c>
      <c r="B15" s="11">
        <v>0.33</v>
      </c>
      <c r="C15" s="12">
        <v>15</v>
      </c>
      <c r="D15" s="12">
        <f t="shared" si="0"/>
        <v>4.95</v>
      </c>
      <c r="E15" s="13"/>
      <c r="F15" s="14">
        <v>6.6000000000000003E-6</v>
      </c>
      <c r="G15" s="7"/>
    </row>
    <row r="16" spans="1:11" x14ac:dyDescent="0.3">
      <c r="A16" s="10">
        <v>0.51111111111111096</v>
      </c>
      <c r="B16" s="19">
        <v>0.66</v>
      </c>
      <c r="C16" s="12">
        <v>20</v>
      </c>
      <c r="D16" s="12">
        <f t="shared" si="0"/>
        <v>13.200000000000001</v>
      </c>
      <c r="E16" s="13"/>
      <c r="F16" s="14">
        <v>6.8000000000000001E-6</v>
      </c>
      <c r="G16" s="7"/>
    </row>
    <row r="17" spans="1:7" x14ac:dyDescent="0.3">
      <c r="A17" s="10">
        <v>0.51249999999999996</v>
      </c>
      <c r="B17" s="11">
        <v>0.75</v>
      </c>
      <c r="C17" s="12">
        <v>25</v>
      </c>
      <c r="D17" s="12">
        <f t="shared" si="0"/>
        <v>18.75</v>
      </c>
      <c r="E17" s="13"/>
      <c r="F17" s="14">
        <v>6.7000000000000002E-6</v>
      </c>
      <c r="G17" s="7"/>
    </row>
    <row r="18" spans="1:7" x14ac:dyDescent="0.3">
      <c r="A18" s="10">
        <v>0.51597222222222205</v>
      </c>
      <c r="B18" s="11">
        <v>0.92</v>
      </c>
      <c r="C18" s="12">
        <v>30</v>
      </c>
      <c r="D18" s="12">
        <f t="shared" si="0"/>
        <v>27.6</v>
      </c>
      <c r="E18" s="13"/>
      <c r="F18" s="14">
        <v>6.6000000000000003E-6</v>
      </c>
      <c r="G18" s="7"/>
    </row>
    <row r="19" spans="1:7" x14ac:dyDescent="0.3">
      <c r="A19" s="10">
        <v>0.51736111111111105</v>
      </c>
      <c r="B19" s="11">
        <v>1.1399999999999999</v>
      </c>
      <c r="C19" s="12">
        <v>35</v>
      </c>
      <c r="D19" s="12">
        <f t="shared" si="0"/>
        <v>39.9</v>
      </c>
      <c r="E19" s="13"/>
      <c r="F19" s="14">
        <v>6.4999999999999996E-6</v>
      </c>
      <c r="G19" s="7"/>
    </row>
    <row r="20" spans="1:7" x14ac:dyDescent="0.3">
      <c r="A20" s="10">
        <v>0.51875000000000004</v>
      </c>
      <c r="B20" s="11">
        <v>1.59</v>
      </c>
      <c r="C20" s="12">
        <v>40</v>
      </c>
      <c r="D20" s="12">
        <f t="shared" si="0"/>
        <v>63.6</v>
      </c>
      <c r="E20" s="13"/>
      <c r="F20" s="14">
        <v>6.8000000000000001E-6</v>
      </c>
      <c r="G20" s="7"/>
    </row>
    <row r="21" spans="1:7" x14ac:dyDescent="0.3">
      <c r="A21" s="10">
        <v>0.52013888888888904</v>
      </c>
      <c r="B21" s="11">
        <v>1.92</v>
      </c>
      <c r="C21" s="12">
        <v>45</v>
      </c>
      <c r="D21" s="12">
        <f t="shared" si="0"/>
        <v>86.399999999999991</v>
      </c>
      <c r="E21" s="13"/>
      <c r="F21" s="14">
        <v>6.8000000000000001E-6</v>
      </c>
      <c r="G21" s="7"/>
    </row>
    <row r="22" spans="1:7" x14ac:dyDescent="0.3">
      <c r="A22" s="10">
        <v>0.52152777777777803</v>
      </c>
      <c r="B22" s="11">
        <v>2.33</v>
      </c>
      <c r="C22" s="12">
        <v>50</v>
      </c>
      <c r="D22" s="12">
        <f t="shared" si="0"/>
        <v>116.5</v>
      </c>
      <c r="E22" s="13"/>
      <c r="F22" s="14">
        <v>6.7000000000000002E-6</v>
      </c>
      <c r="G22" s="7"/>
    </row>
    <row r="23" spans="1:7" x14ac:dyDescent="0.3">
      <c r="A23" s="10">
        <v>0.52291666666666703</v>
      </c>
      <c r="B23" s="11">
        <v>2.72</v>
      </c>
      <c r="C23" s="12">
        <v>55</v>
      </c>
      <c r="D23" s="12">
        <f t="shared" si="0"/>
        <v>149.60000000000002</v>
      </c>
      <c r="E23" s="13"/>
      <c r="F23" s="14">
        <v>6.8000000000000001E-6</v>
      </c>
      <c r="G23" s="7"/>
    </row>
    <row r="24" spans="1:7" x14ac:dyDescent="0.3">
      <c r="A24" s="10">
        <v>0.52430555555555602</v>
      </c>
      <c r="B24" s="11">
        <v>3.16</v>
      </c>
      <c r="C24" s="12">
        <v>60</v>
      </c>
      <c r="D24" s="12">
        <f t="shared" si="0"/>
        <v>189.60000000000002</v>
      </c>
      <c r="E24" s="13"/>
      <c r="F24" s="14">
        <v>6.8000000000000001E-6</v>
      </c>
      <c r="G24" s="7"/>
    </row>
    <row r="25" spans="1:7" x14ac:dyDescent="0.3">
      <c r="A25" s="10">
        <v>0.52569444444444502</v>
      </c>
      <c r="B25" s="11">
        <v>3.48</v>
      </c>
      <c r="C25" s="12">
        <v>65</v>
      </c>
      <c r="D25" s="12">
        <f t="shared" si="0"/>
        <v>226.2</v>
      </c>
      <c r="E25" s="13"/>
      <c r="F25" s="14">
        <v>6.9E-6</v>
      </c>
      <c r="G25" s="7"/>
    </row>
    <row r="26" spans="1:7" x14ac:dyDescent="0.3">
      <c r="A26" s="10">
        <v>0.52708333333333302</v>
      </c>
      <c r="B26" s="19">
        <v>4.1500000000000004</v>
      </c>
      <c r="C26" s="12">
        <v>70</v>
      </c>
      <c r="D26" s="12">
        <f t="shared" si="0"/>
        <v>290.5</v>
      </c>
      <c r="E26" s="13"/>
      <c r="F26" s="14">
        <v>7.7000000000000008E-6</v>
      </c>
      <c r="G26" s="7"/>
    </row>
    <row r="27" spans="1:7" x14ac:dyDescent="0.3">
      <c r="A27" s="10">
        <v>0.52847222222222201</v>
      </c>
      <c r="B27" s="11">
        <v>4.28</v>
      </c>
      <c r="C27" s="12">
        <v>72</v>
      </c>
      <c r="D27" s="12">
        <f t="shared" si="0"/>
        <v>308.16000000000003</v>
      </c>
      <c r="E27" s="13"/>
      <c r="F27" s="14">
        <v>7.5000000000000002E-6</v>
      </c>
      <c r="G27" s="7"/>
    </row>
    <row r="28" spans="1:7" x14ac:dyDescent="0.3">
      <c r="A28" s="10">
        <v>0.52986111111111101</v>
      </c>
      <c r="B28" s="11">
        <v>4.53</v>
      </c>
      <c r="C28" s="12">
        <v>75</v>
      </c>
      <c r="D28" s="12">
        <f t="shared" si="0"/>
        <v>339.75</v>
      </c>
      <c r="E28" s="13"/>
      <c r="F28" s="14">
        <v>7.7000000000000008E-6</v>
      </c>
      <c r="G28" s="7"/>
    </row>
    <row r="29" spans="1:7" x14ac:dyDescent="0.3">
      <c r="A29" s="10">
        <v>0.53125</v>
      </c>
      <c r="B29" s="11">
        <v>4.78</v>
      </c>
      <c r="C29" s="12">
        <v>78</v>
      </c>
      <c r="D29" s="12">
        <f t="shared" si="0"/>
        <v>372.84000000000003</v>
      </c>
      <c r="E29" s="13"/>
      <c r="F29" s="14">
        <v>7.7999999999999999E-6</v>
      </c>
      <c r="G29" s="7"/>
    </row>
    <row r="30" spans="1:7" x14ac:dyDescent="0.3">
      <c r="A30" s="10">
        <v>0.53333333333333299</v>
      </c>
      <c r="B30" s="11">
        <v>4.9000000000000004</v>
      </c>
      <c r="C30" s="12">
        <v>80</v>
      </c>
      <c r="D30" s="12">
        <f t="shared" si="0"/>
        <v>392</v>
      </c>
      <c r="E30" s="13"/>
      <c r="F30" s="15">
        <v>7.7000000000000008E-6</v>
      </c>
      <c r="G30" s="7"/>
    </row>
    <row r="31" spans="1:7" x14ac:dyDescent="0.3">
      <c r="A31" s="10">
        <v>0.56041666666666701</v>
      </c>
      <c r="B31" s="11">
        <v>5.17</v>
      </c>
      <c r="C31" s="12">
        <v>89</v>
      </c>
      <c r="D31" s="12">
        <f t="shared" si="0"/>
        <v>460.13</v>
      </c>
      <c r="E31" s="13"/>
      <c r="F31" s="15">
        <v>6.3999999999999997E-6</v>
      </c>
      <c r="G31" s="7"/>
    </row>
    <row r="32" spans="1:7" x14ac:dyDescent="0.3">
      <c r="A32" s="10">
        <v>0.67291666666666705</v>
      </c>
      <c r="B32" s="11">
        <v>3.87</v>
      </c>
      <c r="C32" s="12">
        <v>67</v>
      </c>
      <c r="D32" s="12">
        <f t="shared" si="0"/>
        <v>259.29000000000002</v>
      </c>
      <c r="E32" s="13"/>
      <c r="F32" s="15">
        <v>5.2000000000000002E-6</v>
      </c>
      <c r="G32" s="7" t="s">
        <v>93</v>
      </c>
    </row>
    <row r="33" spans="1:11" x14ac:dyDescent="0.3">
      <c r="A33" s="10">
        <v>0.67430555555555605</v>
      </c>
      <c r="B33" s="11">
        <v>4.01</v>
      </c>
      <c r="C33" s="12">
        <v>70</v>
      </c>
      <c r="D33" s="12">
        <f t="shared" si="0"/>
        <v>280.7</v>
      </c>
      <c r="E33" s="13"/>
      <c r="F33" s="14">
        <v>5.2000000000000002E-6</v>
      </c>
      <c r="G33" s="7"/>
    </row>
    <row r="34" spans="1:11" x14ac:dyDescent="0.3">
      <c r="A34" s="10">
        <v>0.67569444444444504</v>
      </c>
      <c r="B34" s="11">
        <v>4.17</v>
      </c>
      <c r="C34" s="12">
        <v>73</v>
      </c>
      <c r="D34" s="12">
        <f t="shared" si="0"/>
        <v>304.40999999999997</v>
      </c>
      <c r="E34" s="13"/>
      <c r="F34" s="14">
        <v>5.2000000000000002E-6</v>
      </c>
      <c r="G34" s="7"/>
    </row>
    <row r="35" spans="1:11" x14ac:dyDescent="0.3">
      <c r="A35" s="10">
        <v>0.67638888888888904</v>
      </c>
      <c r="B35" s="11">
        <v>4.2699999999999996</v>
      </c>
      <c r="C35" s="12">
        <v>76</v>
      </c>
      <c r="D35" s="12">
        <f t="shared" si="0"/>
        <v>324.52</v>
      </c>
      <c r="E35" s="13"/>
      <c r="F35" s="14">
        <v>5.2000000000000002E-6</v>
      </c>
      <c r="G35" s="7"/>
    </row>
    <row r="36" spans="1:11" x14ac:dyDescent="0.3">
      <c r="A36" s="10">
        <v>0.67708333333333304</v>
      </c>
      <c r="B36" s="11">
        <v>4.42</v>
      </c>
      <c r="C36" s="12">
        <v>78</v>
      </c>
      <c r="D36" s="12">
        <f t="shared" si="0"/>
        <v>344.76</v>
      </c>
      <c r="E36" s="13"/>
      <c r="F36" s="14">
        <v>5.2000000000000002E-6</v>
      </c>
      <c r="G36" s="7"/>
    </row>
    <row r="37" spans="1:11" x14ac:dyDescent="0.3">
      <c r="A37" s="10">
        <v>0.67777777777777803</v>
      </c>
      <c r="B37" s="11">
        <v>4.53</v>
      </c>
      <c r="C37" s="12">
        <v>80</v>
      </c>
      <c r="D37" s="12">
        <f t="shared" si="0"/>
        <v>362.40000000000003</v>
      </c>
      <c r="E37" s="13"/>
      <c r="F37" s="14">
        <v>5.2000000000000002E-6</v>
      </c>
      <c r="G37" s="7"/>
    </row>
    <row r="38" spans="1:11" x14ac:dyDescent="0.3">
      <c r="A38" s="10">
        <v>0.67916666666666703</v>
      </c>
      <c r="B38" s="11">
        <v>4.63</v>
      </c>
      <c r="C38" s="12">
        <v>82</v>
      </c>
      <c r="D38" s="12">
        <f t="shared" si="0"/>
        <v>379.65999999999997</v>
      </c>
      <c r="E38" s="13"/>
      <c r="F38" s="14">
        <v>5.2000000000000002E-6</v>
      </c>
      <c r="G38" s="7"/>
    </row>
    <row r="39" spans="1:11" x14ac:dyDescent="0.3">
      <c r="A39" s="10">
        <v>0.67986111111111103</v>
      </c>
      <c r="B39" s="11">
        <v>4.79</v>
      </c>
      <c r="C39" s="12">
        <v>85</v>
      </c>
      <c r="D39" s="12">
        <f t="shared" si="0"/>
        <v>407.15</v>
      </c>
      <c r="E39" s="13"/>
      <c r="F39" s="14">
        <v>5.3000000000000001E-6</v>
      </c>
      <c r="G39" s="7"/>
    </row>
    <row r="40" spans="1:11" x14ac:dyDescent="0.3">
      <c r="A40" s="10">
        <v>0.68194444444444502</v>
      </c>
      <c r="B40" s="11">
        <v>5.27</v>
      </c>
      <c r="C40" s="12">
        <v>86</v>
      </c>
      <c r="D40" s="12">
        <f t="shared" si="0"/>
        <v>453.21999999999997</v>
      </c>
      <c r="E40" s="13"/>
      <c r="F40" s="14">
        <v>5.3000000000000001E-6</v>
      </c>
      <c r="G40" s="7"/>
    </row>
    <row r="41" spans="1:11" x14ac:dyDescent="0.3">
      <c r="A41" s="10">
        <v>0.68333333333333302</v>
      </c>
      <c r="B41" s="11">
        <v>5.1100000000000003</v>
      </c>
      <c r="C41" s="12">
        <v>87</v>
      </c>
      <c r="D41" s="12">
        <f t="shared" si="0"/>
        <v>444.57000000000005</v>
      </c>
      <c r="E41" s="13"/>
      <c r="F41" s="14">
        <v>5.3000000000000001E-6</v>
      </c>
      <c r="G41" s="7"/>
    </row>
    <row r="42" spans="1:11" x14ac:dyDescent="0.3">
      <c r="A42" s="10">
        <v>0.68402777777777801</v>
      </c>
      <c r="B42" s="11">
        <v>5.2</v>
      </c>
      <c r="C42" s="12">
        <v>88</v>
      </c>
      <c r="D42" s="12">
        <f t="shared" si="0"/>
        <v>457.6</v>
      </c>
      <c r="E42" s="13"/>
      <c r="F42" s="14">
        <v>5.4E-6</v>
      </c>
      <c r="G42" s="7"/>
    </row>
    <row r="44" spans="1:11" ht="19.5" customHeight="1" x14ac:dyDescent="0.3">
      <c r="A44" s="5" t="s">
        <v>17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3">
      <c r="A45" s="16" t="s">
        <v>18</v>
      </c>
    </row>
    <row r="46" spans="1:11" ht="31.5" customHeight="1" x14ac:dyDescent="0.3">
      <c r="A46" s="8" t="s">
        <v>10</v>
      </c>
      <c r="B46" s="8" t="s">
        <v>19</v>
      </c>
      <c r="C46" s="8" t="s">
        <v>20</v>
      </c>
      <c r="D46" s="8" t="s">
        <v>21</v>
      </c>
      <c r="E46" s="8" t="s">
        <v>11</v>
      </c>
      <c r="F46" s="8" t="s">
        <v>12</v>
      </c>
      <c r="G46" s="8" t="s">
        <v>22</v>
      </c>
      <c r="H46" s="8" t="s">
        <v>23</v>
      </c>
      <c r="I46" s="8" t="s">
        <v>24</v>
      </c>
      <c r="J46" s="8" t="s">
        <v>25</v>
      </c>
      <c r="K46" s="8" t="s">
        <v>16</v>
      </c>
    </row>
    <row r="47" spans="1:11" x14ac:dyDescent="0.3">
      <c r="A47" s="23"/>
      <c r="B47" s="14">
        <v>1.2800000000000001E-2</v>
      </c>
      <c r="C47" s="17">
        <v>110</v>
      </c>
      <c r="D47" s="21">
        <v>13.9</v>
      </c>
      <c r="E47" s="13"/>
      <c r="F47" s="13"/>
      <c r="G47" s="13" t="s">
        <v>68</v>
      </c>
      <c r="H47" s="13"/>
      <c r="I47" s="13"/>
      <c r="J47" s="13"/>
      <c r="K47" s="7" t="s">
        <v>69</v>
      </c>
    </row>
    <row r="48" spans="1:11" x14ac:dyDescent="0.3">
      <c r="A48" s="23"/>
      <c r="B48" s="14">
        <v>1.29E-2</v>
      </c>
      <c r="C48" s="17">
        <v>114</v>
      </c>
      <c r="D48" s="21">
        <v>13.9</v>
      </c>
      <c r="E48" s="13"/>
      <c r="F48" s="13"/>
      <c r="G48" s="13" t="s">
        <v>68</v>
      </c>
      <c r="H48" s="13"/>
      <c r="I48" s="13"/>
      <c r="J48" s="13"/>
      <c r="K48" s="7" t="s">
        <v>69</v>
      </c>
    </row>
    <row r="49" spans="1:11" x14ac:dyDescent="0.3">
      <c r="A49" s="23"/>
      <c r="B49" s="14">
        <v>1.2800000000000001E-2</v>
      </c>
      <c r="C49" s="17">
        <v>114</v>
      </c>
      <c r="D49" s="21">
        <v>13.9</v>
      </c>
      <c r="E49" s="13"/>
      <c r="F49" s="13"/>
      <c r="G49" s="13" t="s">
        <v>68</v>
      </c>
      <c r="H49" s="13"/>
      <c r="I49" s="13"/>
      <c r="J49" s="13"/>
      <c r="K49" s="7" t="s">
        <v>70</v>
      </c>
    </row>
    <row r="50" spans="1:11" x14ac:dyDescent="0.3">
      <c r="A50" s="10">
        <v>0.58125000000000004</v>
      </c>
      <c r="B50" s="14">
        <v>0.01</v>
      </c>
      <c r="C50" s="17">
        <v>110</v>
      </c>
      <c r="D50" s="24">
        <v>13.9</v>
      </c>
      <c r="E50" s="13"/>
      <c r="F50" s="12">
        <v>88</v>
      </c>
      <c r="G50" s="13" t="s">
        <v>68</v>
      </c>
      <c r="H50" s="13"/>
      <c r="I50" s="13"/>
      <c r="J50" s="13"/>
      <c r="K50" s="7"/>
    </row>
    <row r="51" spans="1:11" x14ac:dyDescent="0.3">
      <c r="A51" s="10">
        <v>0.58611111111111103</v>
      </c>
      <c r="B51" s="14">
        <v>9.1000000000000004E-3</v>
      </c>
      <c r="C51" s="17">
        <v>110</v>
      </c>
      <c r="D51" s="21">
        <v>13.9</v>
      </c>
      <c r="E51" s="13"/>
      <c r="F51" s="12">
        <v>88</v>
      </c>
      <c r="G51" s="13" t="s">
        <v>68</v>
      </c>
      <c r="H51" s="13"/>
      <c r="I51" s="13"/>
      <c r="J51" s="13"/>
      <c r="K51" s="7"/>
    </row>
    <row r="52" spans="1:11" x14ac:dyDescent="0.3">
      <c r="A52" s="10">
        <v>0.58819444444444502</v>
      </c>
      <c r="B52" s="15">
        <v>5.0000000000000001E-3</v>
      </c>
      <c r="C52" s="17">
        <v>313</v>
      </c>
      <c r="D52" s="21">
        <v>0</v>
      </c>
      <c r="E52" s="13"/>
      <c r="F52" s="12">
        <v>88</v>
      </c>
      <c r="G52" s="13" t="s">
        <v>71</v>
      </c>
      <c r="H52" s="13"/>
      <c r="I52" s="13"/>
      <c r="J52" s="13"/>
      <c r="K52" s="7" t="s">
        <v>72</v>
      </c>
    </row>
    <row r="53" spans="1:11" x14ac:dyDescent="0.3">
      <c r="A53" s="10">
        <v>0.58888888888888902</v>
      </c>
      <c r="B53" s="14">
        <v>6.1999999999999998E-3</v>
      </c>
      <c r="C53" s="17">
        <v>98.8</v>
      </c>
      <c r="D53" s="21">
        <v>13.9</v>
      </c>
      <c r="E53" s="13"/>
      <c r="F53" s="12">
        <v>88</v>
      </c>
      <c r="G53" s="13" t="s">
        <v>73</v>
      </c>
      <c r="H53" s="13"/>
      <c r="I53" s="13"/>
      <c r="J53" s="13"/>
      <c r="K53" s="7" t="s">
        <v>74</v>
      </c>
    </row>
    <row r="54" spans="1:11" x14ac:dyDescent="0.3">
      <c r="A54" s="10">
        <v>0.59236111111111101</v>
      </c>
      <c r="B54" s="14">
        <v>7.1999999999999998E-3</v>
      </c>
      <c r="C54" s="17">
        <v>106</v>
      </c>
      <c r="D54" s="21">
        <v>13.9</v>
      </c>
      <c r="E54" s="13"/>
      <c r="F54" s="12">
        <v>88</v>
      </c>
      <c r="G54" s="13" t="s">
        <v>68</v>
      </c>
      <c r="H54" s="13"/>
      <c r="I54" s="13"/>
      <c r="J54" s="13"/>
      <c r="K54" s="7" t="s">
        <v>75</v>
      </c>
    </row>
    <row r="55" spans="1:11" x14ac:dyDescent="0.3">
      <c r="A55" s="10">
        <v>0.59375</v>
      </c>
      <c r="B55" s="14">
        <v>8.0000000000000002E-3</v>
      </c>
      <c r="C55" s="17">
        <v>107</v>
      </c>
      <c r="D55" s="21">
        <v>13.9</v>
      </c>
      <c r="E55" s="13"/>
      <c r="F55" s="12">
        <v>88</v>
      </c>
      <c r="G55" s="13" t="s">
        <v>68</v>
      </c>
      <c r="H55" s="13"/>
      <c r="I55" s="13"/>
      <c r="J55" s="13"/>
      <c r="K55" s="7" t="s">
        <v>76</v>
      </c>
    </row>
    <row r="56" spans="1:1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7" t="s">
        <v>77</v>
      </c>
    </row>
    <row r="57" spans="1:11" x14ac:dyDescent="0.3">
      <c r="A57" s="10">
        <v>0.686805555555556</v>
      </c>
      <c r="B57" s="14">
        <v>1.2E-2</v>
      </c>
      <c r="C57" s="17">
        <v>108</v>
      </c>
      <c r="D57" s="21">
        <v>13.9</v>
      </c>
      <c r="E57" s="13"/>
      <c r="F57" s="12">
        <v>88</v>
      </c>
      <c r="G57" s="13" t="s">
        <v>68</v>
      </c>
      <c r="H57" s="13" t="s">
        <v>26</v>
      </c>
      <c r="I57" s="13" t="s">
        <v>26</v>
      </c>
      <c r="J57" s="13"/>
      <c r="K57" s="7"/>
    </row>
    <row r="58" spans="1:11" x14ac:dyDescent="0.3">
      <c r="A58" s="10">
        <v>0.69027777777777799</v>
      </c>
      <c r="B58" s="14">
        <v>1.2E-2</v>
      </c>
      <c r="C58" s="17">
        <v>114</v>
      </c>
      <c r="D58" s="21">
        <v>13.9</v>
      </c>
      <c r="E58" s="13"/>
      <c r="F58" s="12">
        <v>88</v>
      </c>
      <c r="G58" s="13" t="s">
        <v>68</v>
      </c>
      <c r="H58" s="13" t="s">
        <v>78</v>
      </c>
      <c r="I58" s="13" t="s">
        <v>26</v>
      </c>
      <c r="J58" s="12">
        <v>11</v>
      </c>
      <c r="K58" s="7"/>
    </row>
    <row r="59" spans="1:11" x14ac:dyDescent="0.3">
      <c r="A59" s="10">
        <v>0.70208333333333295</v>
      </c>
      <c r="B59" s="14">
        <v>1.2E-2</v>
      </c>
      <c r="C59" s="17">
        <v>117</v>
      </c>
      <c r="D59" s="21">
        <v>13.9</v>
      </c>
      <c r="E59" s="13"/>
      <c r="F59" s="12">
        <v>88</v>
      </c>
      <c r="G59" s="13" t="s">
        <v>68</v>
      </c>
      <c r="H59" s="13" t="s">
        <v>79</v>
      </c>
      <c r="I59" s="13" t="s">
        <v>26</v>
      </c>
      <c r="J59" s="12">
        <v>7</v>
      </c>
      <c r="K59" s="7"/>
    </row>
    <row r="60" spans="1:11" x14ac:dyDescent="0.3">
      <c r="A60" s="10">
        <v>0.70486111111111105</v>
      </c>
      <c r="B60" s="14">
        <v>1.2E-2</v>
      </c>
      <c r="C60" s="17">
        <v>115</v>
      </c>
      <c r="D60" s="21">
        <v>13.9</v>
      </c>
      <c r="E60" s="11">
        <v>5.22</v>
      </c>
      <c r="F60" s="12">
        <v>88</v>
      </c>
      <c r="G60" s="13" t="s">
        <v>68</v>
      </c>
      <c r="H60" s="23" t="s">
        <v>79</v>
      </c>
      <c r="I60" s="13" t="s">
        <v>80</v>
      </c>
      <c r="J60" s="12">
        <v>10</v>
      </c>
      <c r="K60" s="7"/>
    </row>
    <row r="61" spans="1:11" x14ac:dyDescent="0.3">
      <c r="A61" s="10">
        <v>0.70833333333333304</v>
      </c>
      <c r="B61" s="14">
        <v>0.01</v>
      </c>
      <c r="C61" s="17">
        <v>108</v>
      </c>
      <c r="D61" s="21">
        <v>13.9</v>
      </c>
      <c r="E61" s="11">
        <v>5.19</v>
      </c>
      <c r="F61" s="12">
        <v>88</v>
      </c>
      <c r="G61" s="13" t="s">
        <v>68</v>
      </c>
      <c r="H61" s="13" t="s">
        <v>81</v>
      </c>
      <c r="I61" s="13" t="s">
        <v>82</v>
      </c>
      <c r="J61" s="12">
        <v>9</v>
      </c>
      <c r="K61" s="7" t="s">
        <v>83</v>
      </c>
    </row>
    <row r="62" spans="1:11" x14ac:dyDescent="0.3">
      <c r="A62" s="10">
        <v>0.71319444444444502</v>
      </c>
      <c r="B62" s="15">
        <v>8.0000000000000002E-3</v>
      </c>
      <c r="C62" s="17">
        <v>107</v>
      </c>
      <c r="D62" s="21">
        <v>13.9</v>
      </c>
      <c r="E62" s="13"/>
      <c r="F62" s="12">
        <v>88</v>
      </c>
      <c r="G62" s="13" t="s">
        <v>68</v>
      </c>
      <c r="H62" s="13" t="s">
        <v>84</v>
      </c>
      <c r="I62" s="13" t="s">
        <v>85</v>
      </c>
      <c r="J62" s="12">
        <v>7</v>
      </c>
      <c r="K62" s="7"/>
    </row>
    <row r="63" spans="1:11" x14ac:dyDescent="0.3">
      <c r="A63" s="23" t="s">
        <v>86</v>
      </c>
      <c r="B63" s="15">
        <v>8.3000000000000001E-3</v>
      </c>
      <c r="C63" s="22">
        <v>95</v>
      </c>
      <c r="D63" s="21">
        <v>13.9</v>
      </c>
      <c r="E63" s="11">
        <v>5.14</v>
      </c>
      <c r="F63" s="12">
        <v>88</v>
      </c>
      <c r="G63" s="13" t="s">
        <v>68</v>
      </c>
      <c r="H63" s="13"/>
      <c r="I63" s="13"/>
      <c r="J63" s="13"/>
      <c r="K63" s="7" t="s">
        <v>87</v>
      </c>
    </row>
    <row r="65" spans="1:11" ht="19.5" customHeight="1" x14ac:dyDescent="0.3">
      <c r="A65" s="5" t="s">
        <v>88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3">
      <c r="A66" s="18" t="s">
        <v>89</v>
      </c>
    </row>
    <row r="67" spans="1:11" x14ac:dyDescent="0.3">
      <c r="A67" s="18" t="s">
        <v>90</v>
      </c>
    </row>
    <row r="68" spans="1:11" x14ac:dyDescent="0.3">
      <c r="A68" s="18" t="s">
        <v>91</v>
      </c>
    </row>
    <row r="69" spans="1:11" x14ac:dyDescent="0.3">
      <c r="A69" s="18" t="s">
        <v>92</v>
      </c>
    </row>
  </sheetData>
  <mergeCells count="14">
    <mergeCell ref="A10:C10"/>
    <mergeCell ref="D10:G10"/>
    <mergeCell ref="A7:C7"/>
    <mergeCell ref="D7:G7"/>
    <mergeCell ref="A8:C8"/>
    <mergeCell ref="D8:G8"/>
    <mergeCell ref="A9:C9"/>
    <mergeCell ref="D9:G9"/>
    <mergeCell ref="A4:C4"/>
    <mergeCell ref="D4:G4"/>
    <mergeCell ref="A5:C5"/>
    <mergeCell ref="D5:G5"/>
    <mergeCell ref="A6:C6"/>
    <mergeCell ref="D6:G6"/>
  </mergeCells>
  <pageMargins left="0.75" right="0.75" top="1" bottom="1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30.09</vt:lpstr>
      <vt:lpstr>01.10</vt:lpstr>
      <vt:lpstr>05.10</vt:lpstr>
      <vt:lpstr>06.10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Amadeus Mozart</cp:lastModifiedBy>
  <cp:revision>0</cp:revision>
  <dcterms:created xsi:type="dcterms:W3CDTF">2026-10-12T18:45:25Z</dcterms:created>
  <dcterms:modified xsi:type="dcterms:W3CDTF">2026-10-12T18:52:52Z</dcterms:modified>
  <dc:language>en-US</dc:language>
</cp:coreProperties>
</file>